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np85685/development/sandbox/"/>
    </mc:Choice>
  </mc:AlternateContent>
  <xr:revisionPtr revIDLastSave="0" documentId="13_ncr:1_{C24FEBBA-9E50-FD49-94E0-1E28B619295A}" xr6:coauthVersionLast="47" xr6:coauthVersionMax="47" xr10:uidLastSave="{00000000-0000-0000-0000-000000000000}"/>
  <bookViews>
    <workbookView xWindow="0" yWindow="780" windowWidth="36000" windowHeight="22600" activeTab="8" xr2:uid="{00000000-000D-0000-FFFF-FFFF00000000}"/>
  </bookViews>
  <sheets>
    <sheet name="Results" sheetId="1" r:id="rId1"/>
    <sheet name="Control" sheetId="2" r:id="rId2"/>
    <sheet name="Roster" sheetId="3" r:id="rId3"/>
    <sheet name="Sting in the tail" sheetId="4" r:id="rId4"/>
    <sheet name="Dune Bugger" sheetId="5" r:id="rId5"/>
    <sheet name="Sword in the stepping stone" sheetId="6" r:id="rId6"/>
    <sheet name="Witches Triple Crown" sheetId="7" r:id="rId7"/>
    <sheet name="Next Segment" sheetId="8" r:id="rId8"/>
    <sheet name="Ratio History"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 i="8" l="1"/>
  <c r="L36" i="8"/>
  <c r="F36" i="8"/>
  <c r="E36" i="8"/>
  <c r="D36" i="8"/>
  <c r="M35" i="8"/>
  <c r="L35" i="8"/>
  <c r="F35" i="8"/>
  <c r="E35" i="8"/>
  <c r="D35" i="8"/>
  <c r="M34" i="8"/>
  <c r="L34" i="8"/>
  <c r="F34" i="8"/>
  <c r="E34" i="8"/>
  <c r="D34" i="8"/>
  <c r="M33" i="8"/>
  <c r="L33" i="8"/>
  <c r="F33" i="8"/>
  <c r="E33" i="8"/>
  <c r="D33" i="8"/>
  <c r="M32" i="8"/>
  <c r="L32" i="8"/>
  <c r="F32" i="8"/>
  <c r="E32" i="8"/>
  <c r="D32" i="8"/>
  <c r="M31" i="8"/>
  <c r="L31" i="8"/>
  <c r="F31" i="8"/>
  <c r="E31" i="8"/>
  <c r="D31" i="8"/>
  <c r="O4" i="8"/>
  <c r="P4" i="8" s="1"/>
  <c r="O3" i="8"/>
  <c r="P3" i="8" s="1"/>
  <c r="O2" i="8"/>
  <c r="P2" i="8" s="1"/>
  <c r="P5" i="8" s="1"/>
  <c r="M36" i="7"/>
  <c r="L36" i="7"/>
  <c r="F36" i="7"/>
  <c r="E36" i="7"/>
  <c r="D36" i="7"/>
  <c r="M35" i="7"/>
  <c r="L35" i="7"/>
  <c r="F35" i="7"/>
  <c r="E35" i="7"/>
  <c r="D35" i="7"/>
  <c r="M34" i="7"/>
  <c r="L34" i="7"/>
  <c r="F34" i="7"/>
  <c r="E34" i="7"/>
  <c r="D34" i="7"/>
  <c r="M33" i="7"/>
  <c r="L33" i="7"/>
  <c r="F33" i="7"/>
  <c r="E33" i="7"/>
  <c r="D33" i="7"/>
  <c r="M32" i="7"/>
  <c r="L32" i="7"/>
  <c r="F32" i="7"/>
  <c r="E32" i="7"/>
  <c r="D32" i="7"/>
  <c r="M31" i="7"/>
  <c r="L31" i="7"/>
  <c r="F31" i="7"/>
  <c r="E31" i="7"/>
  <c r="D31" i="7"/>
  <c r="M12" i="7"/>
  <c r="F12" i="7"/>
  <c r="M10" i="7"/>
  <c r="F10" i="8" s="1"/>
  <c r="M10" i="8" s="1"/>
  <c r="F10" i="7"/>
  <c r="M8" i="7"/>
  <c r="F8" i="8" s="1"/>
  <c r="M8" i="8" s="1"/>
  <c r="M6" i="7"/>
  <c r="F6" i="8" s="1"/>
  <c r="M6" i="8" s="1"/>
  <c r="M36" i="6"/>
  <c r="L36" i="6"/>
  <c r="F36" i="6"/>
  <c r="E36" i="6"/>
  <c r="D36" i="6"/>
  <c r="M35" i="6"/>
  <c r="L35" i="6"/>
  <c r="F35" i="6"/>
  <c r="E35" i="6"/>
  <c r="D35" i="6"/>
  <c r="M34" i="6"/>
  <c r="L34" i="6"/>
  <c r="F34" i="6"/>
  <c r="E34" i="6"/>
  <c r="D34" i="6"/>
  <c r="M33" i="6"/>
  <c r="L33" i="6"/>
  <c r="F33" i="6"/>
  <c r="E33" i="6"/>
  <c r="D33" i="6"/>
  <c r="M32" i="6"/>
  <c r="L32" i="6"/>
  <c r="F32" i="6"/>
  <c r="E32" i="6"/>
  <c r="D32" i="6"/>
  <c r="M31" i="6"/>
  <c r="L31" i="6"/>
  <c r="K31" i="6"/>
  <c r="J31" i="6"/>
  <c r="I31" i="6"/>
  <c r="H31" i="6"/>
  <c r="F31" i="6"/>
  <c r="E31" i="6"/>
  <c r="D31" i="6"/>
  <c r="G31" i="6" s="1"/>
  <c r="F29" i="6"/>
  <c r="M29" i="6" s="1"/>
  <c r="F28" i="6"/>
  <c r="M28" i="6" s="1"/>
  <c r="F27" i="6"/>
  <c r="M27" i="6" s="1"/>
  <c r="M26" i="6"/>
  <c r="F27" i="7" s="1"/>
  <c r="M27" i="7" s="1"/>
  <c r="F26" i="6"/>
  <c r="F25" i="6"/>
  <c r="M25" i="6" s="1"/>
  <c r="M24" i="6"/>
  <c r="F24" i="7" s="1"/>
  <c r="M24" i="7" s="1"/>
  <c r="F24" i="6"/>
  <c r="M23" i="6"/>
  <c r="F23" i="7" s="1"/>
  <c r="M23" i="7" s="1"/>
  <c r="F23" i="6"/>
  <c r="M22" i="6"/>
  <c r="F22" i="7" s="1"/>
  <c r="M22" i="7" s="1"/>
  <c r="M21" i="6"/>
  <c r="F21" i="7" s="1"/>
  <c r="M21" i="7" s="1"/>
  <c r="F21" i="6"/>
  <c r="M17" i="6"/>
  <c r="F19" i="7" s="1"/>
  <c r="M19" i="7" s="1"/>
  <c r="M16" i="6"/>
  <c r="F16" i="7" s="1"/>
  <c r="M16" i="7" s="1"/>
  <c r="M15" i="6"/>
  <c r="F15" i="7" s="1"/>
  <c r="M15" i="7" s="1"/>
  <c r="M14" i="6"/>
  <c r="F14" i="7" s="1"/>
  <c r="M14" i="7" s="1"/>
  <c r="M13" i="6"/>
  <c r="F13" i="7" s="1"/>
  <c r="M13" i="7" s="1"/>
  <c r="M12" i="6"/>
  <c r="M11" i="6"/>
  <c r="M10" i="6"/>
  <c r="F11" i="7" s="1"/>
  <c r="M11" i="7" s="1"/>
  <c r="M9" i="6"/>
  <c r="F9" i="7" s="1"/>
  <c r="M9" i="7" s="1"/>
  <c r="M8" i="6"/>
  <c r="F8" i="7" s="1"/>
  <c r="M7" i="6"/>
  <c r="F6" i="7" s="1"/>
  <c r="M6" i="6"/>
  <c r="F7" i="7" s="1"/>
  <c r="M7" i="7" s="1"/>
  <c r="O4" i="6"/>
  <c r="M4" i="6"/>
  <c r="F5" i="7" s="1"/>
  <c r="M5" i="7" s="1"/>
  <c r="O3" i="6"/>
  <c r="M3" i="6"/>
  <c r="F4" i="7" s="1"/>
  <c r="M4" i="7" s="1"/>
  <c r="O2" i="6"/>
  <c r="M2" i="6"/>
  <c r="F2" i="7" s="1"/>
  <c r="M2" i="7" s="1"/>
  <c r="M36" i="5"/>
  <c r="L36" i="5"/>
  <c r="F36" i="5"/>
  <c r="E36" i="5"/>
  <c r="D36" i="5"/>
  <c r="M35" i="5"/>
  <c r="L35" i="5"/>
  <c r="F35" i="5"/>
  <c r="E35" i="5"/>
  <c r="D35" i="5"/>
  <c r="M34" i="5"/>
  <c r="L34" i="5"/>
  <c r="F34" i="5"/>
  <c r="E34" i="5"/>
  <c r="D34" i="5"/>
  <c r="M33" i="5"/>
  <c r="L33" i="5"/>
  <c r="F33" i="5"/>
  <c r="E33" i="5"/>
  <c r="D33" i="5"/>
  <c r="M32" i="5"/>
  <c r="L32" i="5"/>
  <c r="F32" i="5"/>
  <c r="E32" i="5"/>
  <c r="D32" i="5"/>
  <c r="M31" i="5"/>
  <c r="L31" i="5"/>
  <c r="F31" i="5"/>
  <c r="E31" i="5"/>
  <c r="D31" i="5"/>
  <c r="M30" i="5"/>
  <c r="M29" i="5"/>
  <c r="M28" i="5"/>
  <c r="M27" i="5"/>
  <c r="F30" i="6" s="1"/>
  <c r="M30" i="6" s="1"/>
  <c r="M26" i="5"/>
  <c r="M25" i="5"/>
  <c r="M24" i="5"/>
  <c r="M23" i="5"/>
  <c r="M22" i="5"/>
  <c r="M21" i="5"/>
  <c r="F22" i="6" s="1"/>
  <c r="M20" i="5"/>
  <c r="F20" i="6" s="1"/>
  <c r="M20" i="6" s="1"/>
  <c r="M19" i="5"/>
  <c r="F17" i="6" s="1"/>
  <c r="M18" i="5"/>
  <c r="F19" i="6" s="1"/>
  <c r="M19" i="6" s="1"/>
  <c r="M17" i="5"/>
  <c r="F18" i="6" s="1"/>
  <c r="M18" i="6" s="1"/>
  <c r="M16" i="5"/>
  <c r="F15" i="6" s="1"/>
  <c r="M15" i="5"/>
  <c r="F16" i="6" s="1"/>
  <c r="M14" i="5"/>
  <c r="F14" i="6" s="1"/>
  <c r="M13" i="5"/>
  <c r="F13" i="6" s="1"/>
  <c r="M12" i="5"/>
  <c r="F12" i="6" s="1"/>
  <c r="M11" i="5"/>
  <c r="F11" i="6" s="1"/>
  <c r="M10" i="5"/>
  <c r="F10" i="6" s="1"/>
  <c r="M9" i="5"/>
  <c r="F9" i="6" s="1"/>
  <c r="M8" i="5"/>
  <c r="F8" i="6" s="1"/>
  <c r="M7" i="5"/>
  <c r="F7" i="6" s="1"/>
  <c r="M6" i="5"/>
  <c r="F6" i="6" s="1"/>
  <c r="F6" i="5"/>
  <c r="M5" i="5"/>
  <c r="F4" i="6" s="1"/>
  <c r="O4" i="5"/>
  <c r="M4" i="5"/>
  <c r="F3" i="6" s="1"/>
  <c r="O3" i="5"/>
  <c r="M3" i="5"/>
  <c r="F5" i="6" s="1"/>
  <c r="M5" i="6" s="1"/>
  <c r="O2" i="5"/>
  <c r="M2" i="5"/>
  <c r="F2" i="6" s="1"/>
  <c r="M36" i="4"/>
  <c r="L36" i="4"/>
  <c r="F36" i="4"/>
  <c r="E36" i="4"/>
  <c r="D36" i="4"/>
  <c r="M35" i="4"/>
  <c r="L35" i="4"/>
  <c r="F35" i="4"/>
  <c r="E35" i="4"/>
  <c r="D35" i="4"/>
  <c r="M34" i="4"/>
  <c r="L34" i="4"/>
  <c r="F34" i="4"/>
  <c r="E34" i="4"/>
  <c r="D34" i="4"/>
  <c r="M33" i="4"/>
  <c r="L33" i="4"/>
  <c r="F33" i="4"/>
  <c r="E33" i="4"/>
  <c r="D33" i="4"/>
  <c r="M32" i="4"/>
  <c r="L32" i="4"/>
  <c r="K32" i="4"/>
  <c r="J32" i="4"/>
  <c r="I32" i="4"/>
  <c r="H32" i="4"/>
  <c r="G32" i="4"/>
  <c r="F32" i="4"/>
  <c r="E32" i="4"/>
  <c r="D32" i="4"/>
  <c r="M31" i="4"/>
  <c r="L31" i="4"/>
  <c r="F31" i="4"/>
  <c r="E31" i="4"/>
  <c r="D31" i="4"/>
  <c r="M30" i="4"/>
  <c r="F30" i="5" s="1"/>
  <c r="F30" i="4"/>
  <c r="E30" i="4"/>
  <c r="L30" i="4" s="1"/>
  <c r="E30" i="5" s="1"/>
  <c r="L30" i="5" s="1"/>
  <c r="E28" i="6" s="1"/>
  <c r="D30" i="4"/>
  <c r="M29" i="4"/>
  <c r="F28" i="5" s="1"/>
  <c r="F29" i="4"/>
  <c r="E29" i="4"/>
  <c r="L29" i="4" s="1"/>
  <c r="E28" i="5" s="1"/>
  <c r="L28" i="5" s="1"/>
  <c r="E29" i="6" s="1"/>
  <c r="D29" i="4"/>
  <c r="M28" i="4"/>
  <c r="F29" i="5" s="1"/>
  <c r="F28" i="4"/>
  <c r="E28" i="4"/>
  <c r="L28" i="4" s="1"/>
  <c r="E29" i="5" s="1"/>
  <c r="L29" i="5" s="1"/>
  <c r="E27" i="6" s="1"/>
  <c r="D28" i="4"/>
  <c r="M27" i="4"/>
  <c r="F26" i="5" s="1"/>
  <c r="F27" i="4"/>
  <c r="E27" i="4"/>
  <c r="L27" i="4" s="1"/>
  <c r="E26" i="5" s="1"/>
  <c r="L26" i="5" s="1"/>
  <c r="E26" i="6" s="1"/>
  <c r="L26" i="6" s="1"/>
  <c r="E27" i="7" s="1"/>
  <c r="D27" i="4"/>
  <c r="M26" i="4"/>
  <c r="F27" i="5" s="1"/>
  <c r="F26" i="4"/>
  <c r="E26" i="4"/>
  <c r="L26" i="4" s="1"/>
  <c r="E27" i="5" s="1"/>
  <c r="L27" i="5" s="1"/>
  <c r="E30" i="6" s="1"/>
  <c r="D26" i="4"/>
  <c r="M25" i="4"/>
  <c r="F24" i="5" s="1"/>
  <c r="F25" i="4"/>
  <c r="E25" i="4"/>
  <c r="L25" i="4" s="1"/>
  <c r="E24" i="5" s="1"/>
  <c r="L24" i="5" s="1"/>
  <c r="E25" i="6" s="1"/>
  <c r="D25" i="4"/>
  <c r="M24" i="4"/>
  <c r="F25" i="5" s="1"/>
  <c r="F24" i="4"/>
  <c r="E24" i="4"/>
  <c r="L24" i="4" s="1"/>
  <c r="E25" i="5" s="1"/>
  <c r="L25" i="5" s="1"/>
  <c r="E24" i="6" s="1"/>
  <c r="L24" i="6" s="1"/>
  <c r="E24" i="7" s="1"/>
  <c r="D24" i="4"/>
  <c r="M23" i="4"/>
  <c r="F23" i="5" s="1"/>
  <c r="F23" i="4"/>
  <c r="E23" i="4"/>
  <c r="L23" i="4" s="1"/>
  <c r="E23" i="5" s="1"/>
  <c r="L23" i="5" s="1"/>
  <c r="E23" i="6" s="1"/>
  <c r="L23" i="6" s="1"/>
  <c r="E23" i="7" s="1"/>
  <c r="D23" i="4"/>
  <c r="M22" i="4"/>
  <c r="F21" i="5" s="1"/>
  <c r="F22" i="4"/>
  <c r="E22" i="4"/>
  <c r="L22" i="4" s="1"/>
  <c r="E21" i="5" s="1"/>
  <c r="L21" i="5" s="1"/>
  <c r="E22" i="6" s="1"/>
  <c r="L22" i="6" s="1"/>
  <c r="E22" i="7" s="1"/>
  <c r="D22" i="4"/>
  <c r="M21" i="4"/>
  <c r="F22" i="5" s="1"/>
  <c r="F21" i="4"/>
  <c r="E21" i="4"/>
  <c r="L21" i="4" s="1"/>
  <c r="E22" i="5" s="1"/>
  <c r="L22" i="5" s="1"/>
  <c r="E21" i="6" s="1"/>
  <c r="L21" i="6" s="1"/>
  <c r="E21" i="7" s="1"/>
  <c r="D21" i="4"/>
  <c r="M20" i="4"/>
  <c r="F20" i="5" s="1"/>
  <c r="F20" i="4"/>
  <c r="E20" i="4"/>
  <c r="L20" i="4" s="1"/>
  <c r="E20" i="5" s="1"/>
  <c r="L20" i="5" s="1"/>
  <c r="E20" i="6" s="1"/>
  <c r="D20" i="4"/>
  <c r="M19" i="4"/>
  <c r="F19" i="5" s="1"/>
  <c r="F19" i="4"/>
  <c r="E19" i="4"/>
  <c r="L19" i="4" s="1"/>
  <c r="E19" i="5" s="1"/>
  <c r="L19" i="5" s="1"/>
  <c r="E17" i="6" s="1"/>
  <c r="L17" i="6" s="1"/>
  <c r="E19" i="7" s="1"/>
  <c r="D19" i="4"/>
  <c r="M18" i="4"/>
  <c r="F18" i="5" s="1"/>
  <c r="F18" i="4"/>
  <c r="E18" i="4"/>
  <c r="L18" i="4" s="1"/>
  <c r="E18" i="5" s="1"/>
  <c r="L18" i="5" s="1"/>
  <c r="E19" i="6" s="1"/>
  <c r="D18" i="4"/>
  <c r="M17" i="4"/>
  <c r="F17" i="5" s="1"/>
  <c r="F17" i="4"/>
  <c r="E17" i="4"/>
  <c r="L17" i="4" s="1"/>
  <c r="E17" i="5" s="1"/>
  <c r="L17" i="5" s="1"/>
  <c r="E18" i="6" s="1"/>
  <c r="D17" i="4"/>
  <c r="M16" i="4"/>
  <c r="F15" i="5" s="1"/>
  <c r="F16" i="4"/>
  <c r="E16" i="4"/>
  <c r="L16" i="4" s="1"/>
  <c r="E15" i="5" s="1"/>
  <c r="L15" i="5" s="1"/>
  <c r="E16" i="6" s="1"/>
  <c r="L16" i="6" s="1"/>
  <c r="E16" i="7" s="1"/>
  <c r="D16" i="4"/>
  <c r="M15" i="4"/>
  <c r="F16" i="5" s="1"/>
  <c r="F15" i="4"/>
  <c r="E15" i="4"/>
  <c r="L15" i="4" s="1"/>
  <c r="E16" i="5" s="1"/>
  <c r="L16" i="5" s="1"/>
  <c r="E15" i="6" s="1"/>
  <c r="L15" i="6" s="1"/>
  <c r="E15" i="7" s="1"/>
  <c r="D15" i="4"/>
  <c r="M14" i="4"/>
  <c r="F14" i="5" s="1"/>
  <c r="F14" i="4"/>
  <c r="E14" i="4"/>
  <c r="L14" i="4" s="1"/>
  <c r="E14" i="5" s="1"/>
  <c r="L14" i="5" s="1"/>
  <c r="E14" i="6" s="1"/>
  <c r="L14" i="6" s="1"/>
  <c r="E14" i="7" s="1"/>
  <c r="D14" i="4"/>
  <c r="M13" i="4"/>
  <c r="F13" i="5" s="1"/>
  <c r="F13" i="4"/>
  <c r="E13" i="4"/>
  <c r="L13" i="4" s="1"/>
  <c r="E13" i="5" s="1"/>
  <c r="L13" i="5" s="1"/>
  <c r="E13" i="6" s="1"/>
  <c r="L13" i="6" s="1"/>
  <c r="E13" i="7" s="1"/>
  <c r="D13" i="4"/>
  <c r="F12" i="4"/>
  <c r="M12" i="4" s="1"/>
  <c r="E12" i="4"/>
  <c r="D12" i="4"/>
  <c r="M11" i="4"/>
  <c r="F10" i="5" s="1"/>
  <c r="F11" i="4"/>
  <c r="E11" i="4"/>
  <c r="L11" i="4" s="1"/>
  <c r="E10" i="5" s="1"/>
  <c r="L10" i="5" s="1"/>
  <c r="E10" i="6" s="1"/>
  <c r="L10" i="6" s="1"/>
  <c r="E11" i="7" s="1"/>
  <c r="D11" i="4"/>
  <c r="M10" i="4"/>
  <c r="F11" i="5" s="1"/>
  <c r="F10" i="4"/>
  <c r="E10" i="4"/>
  <c r="L10" i="4" s="1"/>
  <c r="E11" i="5" s="1"/>
  <c r="L11" i="5" s="1"/>
  <c r="E11" i="6" s="1"/>
  <c r="L11" i="6" s="1"/>
  <c r="E10" i="7" s="1"/>
  <c r="L10" i="7" s="1"/>
  <c r="E10" i="8" s="1"/>
  <c r="D10" i="4"/>
  <c r="M9" i="4"/>
  <c r="F9" i="5" s="1"/>
  <c r="F9" i="4"/>
  <c r="E9" i="4"/>
  <c r="L9" i="4" s="1"/>
  <c r="E9" i="5" s="1"/>
  <c r="L9" i="5" s="1"/>
  <c r="E9" i="6" s="1"/>
  <c r="L9" i="6" s="1"/>
  <c r="E9" i="7" s="1"/>
  <c r="D9" i="4"/>
  <c r="M8" i="4"/>
  <c r="F8" i="5" s="1"/>
  <c r="F8" i="4"/>
  <c r="E8" i="4"/>
  <c r="L8" i="4" s="1"/>
  <c r="E8" i="5" s="1"/>
  <c r="L8" i="5" s="1"/>
  <c r="E8" i="6" s="1"/>
  <c r="L8" i="6" s="1"/>
  <c r="E8" i="7" s="1"/>
  <c r="L8" i="7" s="1"/>
  <c r="E8" i="8" s="1"/>
  <c r="D8" i="4"/>
  <c r="M7" i="4"/>
  <c r="F7" i="4"/>
  <c r="E7" i="4"/>
  <c r="L7" i="4" s="1"/>
  <c r="E6" i="5" s="1"/>
  <c r="L6" i="5" s="1"/>
  <c r="E6" i="6" s="1"/>
  <c r="L6" i="6" s="1"/>
  <c r="E7" i="7" s="1"/>
  <c r="D7" i="4"/>
  <c r="M6" i="4"/>
  <c r="F7" i="5" s="1"/>
  <c r="F6" i="4"/>
  <c r="E6" i="4"/>
  <c r="L6" i="4" s="1"/>
  <c r="E7" i="5" s="1"/>
  <c r="L7" i="5" s="1"/>
  <c r="E7" i="6" s="1"/>
  <c r="L7" i="6" s="1"/>
  <c r="E6" i="7" s="1"/>
  <c r="L6" i="7" s="1"/>
  <c r="E6" i="8" s="1"/>
  <c r="D6" i="4"/>
  <c r="M5" i="4"/>
  <c r="F5" i="5" s="1"/>
  <c r="F5" i="4"/>
  <c r="E5" i="4"/>
  <c r="L5" i="4" s="1"/>
  <c r="E5" i="5" s="1"/>
  <c r="L5" i="5" s="1"/>
  <c r="E4" i="6" s="1"/>
  <c r="L4" i="6" s="1"/>
  <c r="E5" i="7" s="1"/>
  <c r="D5" i="4"/>
  <c r="O4" i="4"/>
  <c r="P4" i="4" s="1"/>
  <c r="M4" i="4"/>
  <c r="F4" i="5" s="1"/>
  <c r="F4" i="4"/>
  <c r="E4" i="4"/>
  <c r="L4" i="4" s="1"/>
  <c r="E4" i="5" s="1"/>
  <c r="L4" i="5" s="1"/>
  <c r="E3" i="6" s="1"/>
  <c r="L3" i="6" s="1"/>
  <c r="E4" i="7" s="1"/>
  <c r="D4" i="4"/>
  <c r="O3" i="4"/>
  <c r="P3" i="4" s="1"/>
  <c r="M3" i="4"/>
  <c r="F3" i="5" s="1"/>
  <c r="F3" i="4"/>
  <c r="E3" i="4"/>
  <c r="L3" i="4" s="1"/>
  <c r="E3" i="5" s="1"/>
  <c r="L3" i="5" s="1"/>
  <c r="E5" i="6" s="1"/>
  <c r="D3" i="4"/>
  <c r="O2" i="4"/>
  <c r="P2" i="4" s="1"/>
  <c r="M2" i="4"/>
  <c r="F2" i="5" s="1"/>
  <c r="F2" i="4"/>
  <c r="E2" i="4"/>
  <c r="L2" i="4" s="1"/>
  <c r="E2" i="5" s="1"/>
  <c r="L2" i="5" s="1"/>
  <c r="E2" i="6" s="1"/>
  <c r="L2" i="6" s="1"/>
  <c r="E2" i="7" s="1"/>
  <c r="D2" i="4"/>
  <c r="B5" i="2"/>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D3" i="1" s="1"/>
  <c r="K31" i="7" l="1"/>
  <c r="H31" i="7"/>
  <c r="G31" i="7"/>
  <c r="I31" i="7"/>
  <c r="J31" i="7"/>
  <c r="K36" i="8"/>
  <c r="J36" i="8"/>
  <c r="I36" i="8"/>
  <c r="H36" i="8"/>
  <c r="G36" i="8"/>
  <c r="K35" i="8"/>
  <c r="J35" i="8"/>
  <c r="I35" i="8"/>
  <c r="H35" i="8"/>
  <c r="G35" i="8"/>
  <c r="K34" i="8"/>
  <c r="J34" i="8"/>
  <c r="I34" i="8"/>
  <c r="H34" i="8"/>
  <c r="G34" i="8"/>
  <c r="K33" i="8"/>
  <c r="J33" i="8"/>
  <c r="I33" i="8"/>
  <c r="H33" i="8"/>
  <c r="G33" i="8"/>
  <c r="K32" i="8"/>
  <c r="J32" i="8"/>
  <c r="I32" i="8"/>
  <c r="H32" i="8"/>
  <c r="G32" i="8"/>
  <c r="K31" i="8"/>
  <c r="J31" i="8"/>
  <c r="I31" i="8"/>
  <c r="H31" i="8"/>
  <c r="G31" i="8"/>
  <c r="G36" i="7"/>
  <c r="H36" i="7"/>
  <c r="I36" i="7"/>
  <c r="J36" i="7"/>
  <c r="K36" i="7"/>
  <c r="H35" i="7"/>
  <c r="I35" i="7"/>
  <c r="J35" i="7"/>
  <c r="K35" i="7"/>
  <c r="G35" i="7"/>
  <c r="G34" i="7"/>
  <c r="H34" i="7"/>
  <c r="I34" i="7"/>
  <c r="J34" i="7"/>
  <c r="K34" i="7"/>
  <c r="G33" i="7"/>
  <c r="H33" i="7"/>
  <c r="I33" i="7"/>
  <c r="J33" i="7"/>
  <c r="K33" i="7"/>
  <c r="I32" i="7"/>
  <c r="H32" i="7"/>
  <c r="G32" i="7"/>
  <c r="K32" i="7"/>
  <c r="J32" i="7"/>
  <c r="L12" i="7"/>
  <c r="E12" i="8" s="1"/>
  <c r="F12" i="8"/>
  <c r="M12" i="8" s="1"/>
  <c r="L12" i="8" s="1"/>
  <c r="K36" i="6"/>
  <c r="J36" i="6"/>
  <c r="I36" i="6"/>
  <c r="H36" i="6"/>
  <c r="G36" i="6"/>
  <c r="J35" i="6"/>
  <c r="I35" i="6"/>
  <c r="H35" i="6"/>
  <c r="G35" i="6"/>
  <c r="K35" i="6"/>
  <c r="J34" i="6"/>
  <c r="G34" i="6"/>
  <c r="H34" i="6"/>
  <c r="K34" i="6"/>
  <c r="I34" i="6"/>
  <c r="I33" i="6"/>
  <c r="H33" i="6"/>
  <c r="K33" i="6"/>
  <c r="J33" i="6"/>
  <c r="G33" i="6"/>
  <c r="G32" i="6"/>
  <c r="I32" i="6"/>
  <c r="K32" i="6"/>
  <c r="J32" i="6"/>
  <c r="H32" i="6"/>
  <c r="F29" i="7"/>
  <c r="M29" i="7" s="1"/>
  <c r="L29" i="6"/>
  <c r="E29" i="7" s="1"/>
  <c r="L28" i="6"/>
  <c r="E30" i="7" s="1"/>
  <c r="F30" i="7"/>
  <c r="M30" i="7" s="1"/>
  <c r="F28" i="7"/>
  <c r="M28" i="7" s="1"/>
  <c r="L27" i="6"/>
  <c r="E28" i="7" s="1"/>
  <c r="F27" i="8"/>
  <c r="M27" i="8" s="1"/>
  <c r="L27" i="7"/>
  <c r="E27" i="8" s="1"/>
  <c r="L25" i="6"/>
  <c r="E25" i="7" s="1"/>
  <c r="F25" i="7"/>
  <c r="M25" i="7" s="1"/>
  <c r="F24" i="8"/>
  <c r="M24" i="8" s="1"/>
  <c r="L24" i="7"/>
  <c r="E24" i="8" s="1"/>
  <c r="L23" i="7"/>
  <c r="E23" i="8" s="1"/>
  <c r="F23" i="8"/>
  <c r="M23" i="8" s="1"/>
  <c r="F22" i="8"/>
  <c r="M22" i="8" s="1"/>
  <c r="L22" i="7"/>
  <c r="E22" i="8" s="1"/>
  <c r="F21" i="8"/>
  <c r="M21" i="8" s="1"/>
  <c r="L21" i="7"/>
  <c r="E21" i="8" s="1"/>
  <c r="L19" i="7"/>
  <c r="E19" i="8" s="1"/>
  <c r="F19" i="8"/>
  <c r="M19" i="8" s="1"/>
  <c r="F16" i="8"/>
  <c r="M16" i="8" s="1"/>
  <c r="L16" i="7"/>
  <c r="E16" i="8" s="1"/>
  <c r="F15" i="8"/>
  <c r="M15" i="8" s="1"/>
  <c r="L15" i="7"/>
  <c r="E15" i="8" s="1"/>
  <c r="L14" i="7"/>
  <c r="E14" i="8" s="1"/>
  <c r="F14" i="8"/>
  <c r="M14" i="8" s="1"/>
  <c r="F13" i="8"/>
  <c r="M13" i="8" s="1"/>
  <c r="L13" i="7"/>
  <c r="E13" i="8" s="1"/>
  <c r="F11" i="8"/>
  <c r="M11" i="8" s="1"/>
  <c r="L11" i="7"/>
  <c r="E11" i="8" s="1"/>
  <c r="L9" i="7"/>
  <c r="E9" i="8" s="1"/>
  <c r="F9" i="8"/>
  <c r="M9" i="8" s="1"/>
  <c r="F7" i="8"/>
  <c r="M7" i="8" s="1"/>
  <c r="L7" i="7"/>
  <c r="E7" i="8" s="1"/>
  <c r="F5" i="8"/>
  <c r="M5" i="8" s="1"/>
  <c r="L5" i="7"/>
  <c r="E5" i="8" s="1"/>
  <c r="F4" i="8"/>
  <c r="M4" i="8" s="1"/>
  <c r="L4" i="7"/>
  <c r="E4" i="8" s="1"/>
  <c r="L2" i="7"/>
  <c r="E2" i="8" s="1"/>
  <c r="F2" i="8"/>
  <c r="M2" i="8" s="1"/>
  <c r="G36" i="5"/>
  <c r="H36" i="5"/>
  <c r="I36" i="5"/>
  <c r="J36" i="5"/>
  <c r="K36" i="5"/>
  <c r="H35" i="5"/>
  <c r="I35" i="5"/>
  <c r="J35" i="5"/>
  <c r="G35" i="5"/>
  <c r="K35" i="5"/>
  <c r="G34" i="5"/>
  <c r="H34" i="5"/>
  <c r="I34" i="5"/>
  <c r="K34" i="5"/>
  <c r="J34" i="5"/>
  <c r="J33" i="5"/>
  <c r="H33" i="5"/>
  <c r="K33" i="5"/>
  <c r="I33" i="5"/>
  <c r="G33" i="5"/>
  <c r="J32" i="5"/>
  <c r="H32" i="5"/>
  <c r="I32" i="5"/>
  <c r="G32" i="5"/>
  <c r="K32" i="5"/>
  <c r="I31" i="5"/>
  <c r="K31" i="5"/>
  <c r="J31" i="5"/>
  <c r="H31" i="5"/>
  <c r="G31" i="5"/>
  <c r="F26" i="7"/>
  <c r="M26" i="7" s="1"/>
  <c r="L30" i="6"/>
  <c r="E26" i="7" s="1"/>
  <c r="F20" i="7"/>
  <c r="M20" i="7" s="1"/>
  <c r="L20" i="6"/>
  <c r="E20" i="7" s="1"/>
  <c r="F18" i="7"/>
  <c r="M18" i="7" s="1"/>
  <c r="L19" i="6"/>
  <c r="E18" i="7" s="1"/>
  <c r="F17" i="7"/>
  <c r="M17" i="7" s="1"/>
  <c r="L18" i="6"/>
  <c r="E17" i="7" s="1"/>
  <c r="F3" i="7"/>
  <c r="M3" i="7" s="1"/>
  <c r="L5" i="6"/>
  <c r="E3" i="7" s="1"/>
  <c r="I36" i="4"/>
  <c r="H36" i="4"/>
  <c r="G36" i="4"/>
  <c r="K36" i="4"/>
  <c r="J36" i="4"/>
  <c r="K35" i="4"/>
  <c r="J35" i="4"/>
  <c r="H35" i="4"/>
  <c r="I35" i="4"/>
  <c r="G35" i="4"/>
  <c r="H34" i="4"/>
  <c r="K34" i="4"/>
  <c r="I34" i="4"/>
  <c r="J34" i="4"/>
  <c r="G34" i="4"/>
  <c r="J33" i="4"/>
  <c r="H33" i="4"/>
  <c r="G33" i="4"/>
  <c r="K33" i="4"/>
  <c r="I33" i="4"/>
  <c r="G31" i="4"/>
  <c r="H31" i="4"/>
  <c r="I31" i="4"/>
  <c r="J31" i="4"/>
  <c r="K31" i="4"/>
  <c r="J30" i="4"/>
  <c r="J29" i="4"/>
  <c r="J28" i="4"/>
  <c r="J27" i="4"/>
  <c r="J26" i="4"/>
  <c r="J25" i="4"/>
  <c r="J24" i="4"/>
  <c r="J23" i="4"/>
  <c r="J22" i="4"/>
  <c r="J21" i="4"/>
  <c r="J20" i="4"/>
  <c r="J19" i="4"/>
  <c r="J18" i="4"/>
  <c r="J17" i="4"/>
  <c r="J16" i="4"/>
  <c r="J15" i="4"/>
  <c r="J14" i="4"/>
  <c r="J13" i="4"/>
  <c r="F12" i="5"/>
  <c r="L12" i="4"/>
  <c r="E12" i="5" s="1"/>
  <c r="L12" i="5" s="1"/>
  <c r="E12" i="6" s="1"/>
  <c r="L12" i="6" s="1"/>
  <c r="E12" i="7" s="1"/>
  <c r="J12" i="4"/>
  <c r="K12" i="4" s="1"/>
  <c r="I12" i="4"/>
  <c r="H12" i="4"/>
  <c r="J11" i="4"/>
  <c r="J10" i="4"/>
  <c r="J9" i="4"/>
  <c r="J8" i="4"/>
  <c r="J7" i="4"/>
  <c r="J6" i="4"/>
  <c r="J5" i="4"/>
  <c r="J4" i="4"/>
  <c r="J3" i="4"/>
  <c r="J2" i="4"/>
  <c r="E37" i="1"/>
  <c r="D37" i="1"/>
  <c r="C37" i="1" s="1"/>
  <c r="A37" i="1"/>
  <c r="F37" i="1"/>
  <c r="A36" i="1"/>
  <c r="F36" i="1"/>
  <c r="E36" i="1"/>
  <c r="D36" i="1"/>
  <c r="C36" i="1" s="1"/>
  <c r="A35" i="1"/>
  <c r="D35" i="1"/>
  <c r="C35" i="1" s="1"/>
  <c r="E35" i="1"/>
  <c r="F35" i="1"/>
  <c r="F34" i="1"/>
  <c r="D34" i="1"/>
  <c r="C34" i="1" s="1"/>
  <c r="A34" i="1"/>
  <c r="E34" i="1"/>
  <c r="F33" i="1"/>
  <c r="E33" i="1"/>
  <c r="D33" i="1"/>
  <c r="C33" i="1" s="1"/>
  <c r="A33" i="1"/>
  <c r="D32" i="1"/>
  <c r="C32" i="1" s="1"/>
  <c r="E32" i="1"/>
  <c r="F32" i="1"/>
  <c r="A32" i="1"/>
  <c r="A31" i="1"/>
  <c r="D31" i="1"/>
  <c r="C31" i="1" s="1"/>
  <c r="D30" i="1"/>
  <c r="C30" i="1" s="1"/>
  <c r="A30" i="1"/>
  <c r="D29" i="1"/>
  <c r="C29" i="1" s="1"/>
  <c r="A29" i="1"/>
  <c r="D28" i="1"/>
  <c r="C28" i="1" s="1"/>
  <c r="A28" i="1"/>
  <c r="D27" i="1"/>
  <c r="C27" i="1" s="1"/>
  <c r="A27" i="1"/>
  <c r="D26" i="1"/>
  <c r="C26" i="1" s="1"/>
  <c r="A26" i="1"/>
  <c r="D25" i="1"/>
  <c r="C25" i="1" s="1"/>
  <c r="A25" i="1"/>
  <c r="D24" i="1"/>
  <c r="C24" i="1" s="1"/>
  <c r="A24" i="1"/>
  <c r="A23" i="1"/>
  <c r="D23" i="1"/>
  <c r="C23" i="1" s="1"/>
  <c r="A22" i="1"/>
  <c r="D22" i="1"/>
  <c r="C22" i="1" s="1"/>
  <c r="D21" i="1"/>
  <c r="C21" i="1" s="1"/>
  <c r="A21" i="1"/>
  <c r="A20" i="1"/>
  <c r="D20" i="1"/>
  <c r="C20" i="1" s="1"/>
  <c r="D19" i="1"/>
  <c r="C19" i="1" s="1"/>
  <c r="A19" i="1"/>
  <c r="D18" i="1"/>
  <c r="C18" i="1" s="1"/>
  <c r="A18" i="1"/>
  <c r="D17" i="1"/>
  <c r="C17" i="1" s="1"/>
  <c r="A17" i="1"/>
  <c r="D16" i="1"/>
  <c r="C16" i="1" s="1"/>
  <c r="A16" i="1"/>
  <c r="D15" i="1"/>
  <c r="C15" i="1" s="1"/>
  <c r="A15" i="1"/>
  <c r="D14" i="1"/>
  <c r="C14" i="1" s="1"/>
  <c r="A14" i="1"/>
  <c r="D13" i="1"/>
  <c r="C13" i="1" s="1"/>
  <c r="A13" i="1"/>
  <c r="A12" i="1"/>
  <c r="D12" i="1"/>
  <c r="C12" i="1" s="1"/>
  <c r="D11" i="1"/>
  <c r="C11" i="1" s="1"/>
  <c r="A11" i="1"/>
  <c r="D10" i="1"/>
  <c r="C10" i="1" s="1"/>
  <c r="A10" i="1"/>
  <c r="D9" i="1"/>
  <c r="C9" i="1" s="1"/>
  <c r="A9" i="1"/>
  <c r="D8" i="1"/>
  <c r="C8" i="1" s="1"/>
  <c r="A8" i="1"/>
  <c r="D7" i="1"/>
  <c r="C7" i="1" s="1"/>
  <c r="A7" i="1"/>
  <c r="D6" i="1"/>
  <c r="C6" i="1" s="1"/>
  <c r="A6" i="1"/>
  <c r="A5" i="1"/>
  <c r="D5" i="1"/>
  <c r="C5" i="1" s="1"/>
  <c r="D4" i="1"/>
  <c r="A4" i="1"/>
  <c r="A3" i="1"/>
  <c r="L8" i="8"/>
  <c r="L10" i="8"/>
  <c r="L6" i="8"/>
  <c r="P5" i="4"/>
  <c r="L2" i="8" l="1"/>
  <c r="L14" i="8"/>
  <c r="L19" i="8"/>
  <c r="L22" i="8"/>
  <c r="L13" i="8"/>
  <c r="L9" i="8"/>
  <c r="C4" i="1"/>
  <c r="C3" i="1"/>
  <c r="F29" i="8"/>
  <c r="M29" i="8" s="1"/>
  <c r="L29" i="7"/>
  <c r="E29" i="8" s="1"/>
  <c r="F30" i="8"/>
  <c r="M30" i="8" s="1"/>
  <c r="L30" i="7"/>
  <c r="E30" i="8" s="1"/>
  <c r="F28" i="8"/>
  <c r="M28" i="8" s="1"/>
  <c r="L28" i="7"/>
  <c r="E28" i="8" s="1"/>
  <c r="F25" i="8"/>
  <c r="M25" i="8" s="1"/>
  <c r="L25" i="7"/>
  <c r="E25" i="8" s="1"/>
  <c r="F26" i="8"/>
  <c r="M26" i="8" s="1"/>
  <c r="L26" i="7"/>
  <c r="E26" i="8" s="1"/>
  <c r="L20" i="7"/>
  <c r="E20" i="8" s="1"/>
  <c r="F20" i="8"/>
  <c r="M20" i="8" s="1"/>
  <c r="F18" i="8"/>
  <c r="M18" i="8" s="1"/>
  <c r="L18" i="7"/>
  <c r="E18" i="8" s="1"/>
  <c r="F17" i="8"/>
  <c r="M17" i="8" s="1"/>
  <c r="L17" i="7"/>
  <c r="E17" i="8" s="1"/>
  <c r="L3" i="7"/>
  <c r="E3" i="8" s="1"/>
  <c r="F3" i="8"/>
  <c r="M3" i="8" s="1"/>
  <c r="D12" i="5"/>
  <c r="C12" i="9"/>
  <c r="L11" i="8"/>
  <c r="L7" i="8"/>
  <c r="L5" i="8"/>
  <c r="L4" i="8"/>
  <c r="L15" i="8"/>
  <c r="L16" i="8"/>
  <c r="L27" i="8"/>
  <c r="L21" i="8"/>
  <c r="L23" i="8"/>
  <c r="L24" i="8"/>
  <c r="I2" i="9"/>
  <c r="I13" i="4"/>
  <c r="K13" i="4" s="1"/>
  <c r="G30" i="4"/>
  <c r="H30" i="4" s="1"/>
  <c r="G11" i="4"/>
  <c r="H11" i="4" s="1"/>
  <c r="I15" i="4"/>
  <c r="K15" i="4" s="1"/>
  <c r="I10" i="4"/>
  <c r="K10" i="4" s="1"/>
  <c r="G10" i="4"/>
  <c r="H10" i="4" s="1"/>
  <c r="S4" i="4" s="1"/>
  <c r="I9" i="4"/>
  <c r="K9" i="4" s="1"/>
  <c r="G9" i="4"/>
  <c r="H9" i="4" s="1"/>
  <c r="G15" i="4"/>
  <c r="H15" i="4" s="1"/>
  <c r="G16" i="4"/>
  <c r="H16" i="4" s="1"/>
  <c r="I16" i="4"/>
  <c r="K16" i="4" s="1"/>
  <c r="I17" i="4"/>
  <c r="K17" i="4" s="1"/>
  <c r="G13" i="4"/>
  <c r="H13" i="4" s="1"/>
  <c r="S5" i="4" s="1"/>
  <c r="I8" i="4"/>
  <c r="K8" i="4" s="1"/>
  <c r="G8" i="4"/>
  <c r="H8" i="4" s="1"/>
  <c r="I7" i="4"/>
  <c r="K7" i="4" s="1"/>
  <c r="G7" i="4"/>
  <c r="H7" i="4" s="1"/>
  <c r="G17" i="4"/>
  <c r="H17" i="4" s="1"/>
  <c r="I6" i="4"/>
  <c r="K6" i="4" s="1"/>
  <c r="G6" i="4"/>
  <c r="H6" i="4" s="1"/>
  <c r="I18" i="4"/>
  <c r="K18" i="4" s="1"/>
  <c r="I5" i="4"/>
  <c r="K5" i="4" s="1"/>
  <c r="G5" i="4"/>
  <c r="H5" i="4" s="1"/>
  <c r="G18" i="4"/>
  <c r="H18" i="4" s="1"/>
  <c r="I4" i="4"/>
  <c r="K4" i="4" s="1"/>
  <c r="G4" i="4"/>
  <c r="H4" i="4" s="1"/>
  <c r="G19" i="4"/>
  <c r="H19" i="4" s="1"/>
  <c r="I3" i="4"/>
  <c r="K3" i="4" s="1"/>
  <c r="G3" i="4"/>
  <c r="H3" i="4" s="1"/>
  <c r="G2" i="4"/>
  <c r="H2" i="4" s="1"/>
  <c r="I2" i="4"/>
  <c r="K2" i="4" s="1"/>
  <c r="I19" i="4"/>
  <c r="K19" i="4" s="1"/>
  <c r="G20" i="4"/>
  <c r="H20" i="4" s="1"/>
  <c r="I20" i="4"/>
  <c r="K20" i="4" s="1"/>
  <c r="G21" i="4"/>
  <c r="H21" i="4" s="1"/>
  <c r="I14" i="4"/>
  <c r="K14" i="4" s="1"/>
  <c r="I21" i="4"/>
  <c r="K21" i="4" s="1"/>
  <c r="I22" i="4"/>
  <c r="K22" i="4" s="1"/>
  <c r="G14" i="4"/>
  <c r="H14" i="4" s="1"/>
  <c r="G22" i="4"/>
  <c r="H22" i="4" s="1"/>
  <c r="G23" i="4"/>
  <c r="H23" i="4" s="1"/>
  <c r="I23" i="4"/>
  <c r="K23" i="4" s="1"/>
  <c r="G24" i="4"/>
  <c r="H24" i="4" s="1"/>
  <c r="I24" i="4"/>
  <c r="K24" i="4" s="1"/>
  <c r="G25" i="4"/>
  <c r="H25" i="4" s="1"/>
  <c r="I25" i="4"/>
  <c r="K25" i="4" s="1"/>
  <c r="G26" i="4"/>
  <c r="H26" i="4" s="1"/>
  <c r="S8" i="4" s="1"/>
  <c r="I26" i="4"/>
  <c r="K26" i="4" s="1"/>
  <c r="I27" i="4"/>
  <c r="K27" i="4" s="1"/>
  <c r="G27" i="4"/>
  <c r="H27" i="4" s="1"/>
  <c r="I28" i="4"/>
  <c r="K28" i="4" s="1"/>
  <c r="G28" i="4"/>
  <c r="H28" i="4" s="1"/>
  <c r="I29" i="4"/>
  <c r="K29" i="4" s="1"/>
  <c r="G29" i="4"/>
  <c r="H29" i="4" s="1"/>
  <c r="I30" i="4"/>
  <c r="K30" i="4" s="1"/>
  <c r="G12" i="4"/>
  <c r="I11" i="4"/>
  <c r="K11" i="4" s="1"/>
  <c r="L30" i="8" l="1"/>
  <c r="L20" i="8"/>
  <c r="L18" i="8"/>
  <c r="L28" i="8"/>
  <c r="L25" i="8"/>
  <c r="L3" i="8"/>
  <c r="J12" i="5"/>
  <c r="C13" i="9"/>
  <c r="D13" i="5"/>
  <c r="C15" i="9"/>
  <c r="D16" i="5"/>
  <c r="C10" i="9"/>
  <c r="D11" i="5"/>
  <c r="C9" i="9"/>
  <c r="D9" i="5"/>
  <c r="C16" i="9"/>
  <c r="D15" i="5"/>
  <c r="C17" i="9"/>
  <c r="D17" i="5"/>
  <c r="C8" i="9"/>
  <c r="D8" i="5"/>
  <c r="C7" i="9"/>
  <c r="D6" i="5"/>
  <c r="C6" i="9"/>
  <c r="D7" i="5"/>
  <c r="C18" i="9"/>
  <c r="D18" i="5"/>
  <c r="C5" i="9"/>
  <c r="D5" i="5"/>
  <c r="C4" i="9"/>
  <c r="D4" i="5"/>
  <c r="C3" i="9"/>
  <c r="D3" i="5"/>
  <c r="D2" i="5"/>
  <c r="C2" i="9"/>
  <c r="C19" i="9"/>
  <c r="D19" i="5"/>
  <c r="C20" i="9"/>
  <c r="D20" i="5"/>
  <c r="C14" i="9"/>
  <c r="D14" i="5"/>
  <c r="C21" i="9"/>
  <c r="D22" i="5"/>
  <c r="C22" i="9"/>
  <c r="D21" i="5"/>
  <c r="C23" i="9"/>
  <c r="D23" i="5"/>
  <c r="C24" i="9"/>
  <c r="D25" i="5"/>
  <c r="C25" i="9"/>
  <c r="D24" i="5"/>
  <c r="C26" i="9"/>
  <c r="D27" i="5"/>
  <c r="C27" i="9"/>
  <c r="D26" i="5"/>
  <c r="C28" i="9"/>
  <c r="D29" i="5"/>
  <c r="C29" i="9"/>
  <c r="D28" i="5"/>
  <c r="C30" i="9"/>
  <c r="D30" i="5"/>
  <c r="C11" i="9"/>
  <c r="D10" i="5"/>
  <c r="L26" i="8"/>
  <c r="L17" i="8"/>
  <c r="S6" i="4"/>
  <c r="S3" i="4"/>
  <c r="S7" i="4"/>
  <c r="T7" i="4" s="1"/>
  <c r="S2" i="4"/>
  <c r="L29" i="8"/>
  <c r="J13" i="5" l="1"/>
  <c r="J16" i="5"/>
  <c r="J11" i="5"/>
  <c r="J9" i="5"/>
  <c r="J15" i="5"/>
  <c r="J17" i="5"/>
  <c r="J8" i="5"/>
  <c r="P3" i="5"/>
  <c r="J6" i="5"/>
  <c r="J7" i="5"/>
  <c r="J18" i="5"/>
  <c r="J5" i="5"/>
  <c r="P4" i="5"/>
  <c r="J4" i="5"/>
  <c r="J3" i="5"/>
  <c r="P2" i="5"/>
  <c r="P5" i="5" s="1"/>
  <c r="J2" i="5"/>
  <c r="J19" i="5"/>
  <c r="J20" i="5"/>
  <c r="J14" i="5"/>
  <c r="J22" i="5"/>
  <c r="J21" i="5"/>
  <c r="J23" i="5"/>
  <c r="J25" i="5"/>
  <c r="J24" i="5"/>
  <c r="J27" i="5"/>
  <c r="J26" i="5"/>
  <c r="J29" i="5"/>
  <c r="J28" i="5"/>
  <c r="J30" i="5"/>
  <c r="J10" i="5"/>
  <c r="T4" i="4"/>
  <c r="T5" i="4"/>
  <c r="T8" i="4"/>
  <c r="T2" i="4"/>
  <c r="T6" i="4"/>
  <c r="T3" i="4"/>
  <c r="I12" i="5" l="1"/>
  <c r="K12" i="5" s="1"/>
  <c r="G12" i="5"/>
  <c r="H12" i="5" s="1"/>
  <c r="I3" i="9"/>
  <c r="G13" i="5"/>
  <c r="H13" i="5" s="1"/>
  <c r="I10" i="5"/>
  <c r="K10" i="5" s="1"/>
  <c r="G9" i="5"/>
  <c r="H9" i="5" s="1"/>
  <c r="I9" i="5"/>
  <c r="K9" i="5" s="1"/>
  <c r="G15" i="5"/>
  <c r="H15" i="5" s="1"/>
  <c r="I15" i="5"/>
  <c r="K15" i="5" s="1"/>
  <c r="G17" i="5"/>
  <c r="H17" i="5" s="1"/>
  <c r="I17" i="5"/>
  <c r="K17" i="5" s="1"/>
  <c r="G7" i="5"/>
  <c r="H7" i="5" s="1"/>
  <c r="I7" i="5"/>
  <c r="K7" i="5" s="1"/>
  <c r="G2" i="5"/>
  <c r="H2" i="5" s="1"/>
  <c r="I18" i="5"/>
  <c r="K18" i="5" s="1"/>
  <c r="I5" i="5"/>
  <c r="K5" i="5" s="1"/>
  <c r="G5" i="5"/>
  <c r="H5" i="5" s="1"/>
  <c r="G4" i="5"/>
  <c r="H4" i="5" s="1"/>
  <c r="I4" i="5"/>
  <c r="K4" i="5" s="1"/>
  <c r="G19" i="5"/>
  <c r="H19" i="5" s="1"/>
  <c r="I19" i="5"/>
  <c r="K19" i="5" s="1"/>
  <c r="G20" i="5"/>
  <c r="H20" i="5" s="1"/>
  <c r="I20" i="5"/>
  <c r="K20" i="5" s="1"/>
  <c r="G14" i="5"/>
  <c r="H14" i="5" s="1"/>
  <c r="I14" i="5"/>
  <c r="K14" i="5" s="1"/>
  <c r="I3" i="5"/>
  <c r="K3" i="5" s="1"/>
  <c r="G27" i="5"/>
  <c r="H27" i="5" s="1"/>
  <c r="I6" i="5"/>
  <c r="K6" i="5" s="1"/>
  <c r="G11" i="5"/>
  <c r="H11" i="5" s="1"/>
  <c r="G18" i="5"/>
  <c r="H18" i="5" s="1"/>
  <c r="G3" i="5"/>
  <c r="H3" i="5" s="1"/>
  <c r="I16" i="5"/>
  <c r="K16" i="5" s="1"/>
  <c r="G22" i="5"/>
  <c r="H22" i="5" s="1"/>
  <c r="I22" i="5"/>
  <c r="K22" i="5" s="1"/>
  <c r="G21" i="5"/>
  <c r="H21" i="5" s="1"/>
  <c r="S7" i="5" s="1"/>
  <c r="I21" i="5"/>
  <c r="K21" i="5" s="1"/>
  <c r="G23" i="5"/>
  <c r="H23" i="5" s="1"/>
  <c r="I23" i="5"/>
  <c r="K23" i="5" s="1"/>
  <c r="G25" i="5"/>
  <c r="H25" i="5" s="1"/>
  <c r="I25" i="5"/>
  <c r="K25" i="5" s="1"/>
  <c r="G24" i="5"/>
  <c r="H24" i="5" s="1"/>
  <c r="I24" i="5"/>
  <c r="K24" i="5" s="1"/>
  <c r="I27" i="5"/>
  <c r="K27" i="5" s="1"/>
  <c r="I8" i="5"/>
  <c r="K8" i="5" s="1"/>
  <c r="G26" i="5"/>
  <c r="H26" i="5" s="1"/>
  <c r="I26" i="5"/>
  <c r="K26" i="5" s="1"/>
  <c r="G6" i="5"/>
  <c r="H6" i="5" s="1"/>
  <c r="G8" i="5"/>
  <c r="H8" i="5" s="1"/>
  <c r="G16" i="5"/>
  <c r="H16" i="5" s="1"/>
  <c r="I13" i="5"/>
  <c r="K13" i="5" s="1"/>
  <c r="I2" i="5"/>
  <c r="K2" i="5" s="1"/>
  <c r="G29" i="5"/>
  <c r="H29" i="5" s="1"/>
  <c r="I29" i="5"/>
  <c r="K29" i="5" s="1"/>
  <c r="G28" i="5"/>
  <c r="H28" i="5" s="1"/>
  <c r="I28" i="5"/>
  <c r="K28" i="5" s="1"/>
  <c r="G30" i="5"/>
  <c r="H30" i="5" s="1"/>
  <c r="I30" i="5"/>
  <c r="K30" i="5" s="1"/>
  <c r="G10" i="5"/>
  <c r="H10" i="5" s="1"/>
  <c r="S4" i="5" s="1"/>
  <c r="I11" i="5"/>
  <c r="K11" i="5" s="1"/>
  <c r="D12" i="9" l="1"/>
  <c r="D12" i="6"/>
  <c r="D11" i="9"/>
  <c r="D10" i="6"/>
  <c r="D9" i="9"/>
  <c r="D9" i="6"/>
  <c r="D16" i="9"/>
  <c r="D16" i="6"/>
  <c r="D17" i="9"/>
  <c r="D18" i="6"/>
  <c r="D6" i="9"/>
  <c r="D7" i="6"/>
  <c r="D18" i="9"/>
  <c r="D19" i="6"/>
  <c r="D5" i="9"/>
  <c r="D4" i="6"/>
  <c r="D3" i="6"/>
  <c r="D4" i="9"/>
  <c r="D19" i="9"/>
  <c r="D17" i="6"/>
  <c r="D20" i="9"/>
  <c r="D20" i="6"/>
  <c r="D14" i="9"/>
  <c r="D14" i="6"/>
  <c r="D5" i="6"/>
  <c r="D3" i="9"/>
  <c r="D6" i="6"/>
  <c r="D7" i="9"/>
  <c r="D15" i="9"/>
  <c r="D15" i="6"/>
  <c r="D21" i="9"/>
  <c r="D21" i="6"/>
  <c r="D22" i="9"/>
  <c r="D22" i="6"/>
  <c r="D23" i="9"/>
  <c r="D23" i="6"/>
  <c r="D24" i="9"/>
  <c r="D24" i="6"/>
  <c r="D25" i="9"/>
  <c r="D25" i="6"/>
  <c r="D26" i="9"/>
  <c r="D30" i="6"/>
  <c r="D8" i="9"/>
  <c r="D8" i="6"/>
  <c r="D27" i="9"/>
  <c r="D26" i="6"/>
  <c r="D13" i="9"/>
  <c r="D13" i="6"/>
  <c r="D2" i="6"/>
  <c r="D2" i="9"/>
  <c r="D28" i="9"/>
  <c r="D27" i="6"/>
  <c r="D29" i="9"/>
  <c r="D29" i="6"/>
  <c r="D30" i="9"/>
  <c r="D28" i="6"/>
  <c r="D10" i="9"/>
  <c r="D11" i="6"/>
  <c r="S5" i="5"/>
  <c r="S6" i="5"/>
  <c r="T6" i="5" s="1"/>
  <c r="S2" i="5"/>
  <c r="S8" i="5"/>
  <c r="S3" i="5"/>
  <c r="J12" i="6" l="1"/>
  <c r="J10" i="6"/>
  <c r="J9" i="6"/>
  <c r="J16" i="6"/>
  <c r="J18" i="6"/>
  <c r="K18" i="6" s="1"/>
  <c r="H18" i="6"/>
  <c r="I18" i="6"/>
  <c r="J7" i="6"/>
  <c r="J19" i="6"/>
  <c r="H19" i="6"/>
  <c r="I19" i="6"/>
  <c r="K19" i="6" s="1"/>
  <c r="J4" i="6"/>
  <c r="P4" i="6"/>
  <c r="J3" i="6"/>
  <c r="J17" i="6"/>
  <c r="H20" i="6"/>
  <c r="J20" i="6"/>
  <c r="I20" i="6"/>
  <c r="K20" i="6" s="1"/>
  <c r="J14" i="6"/>
  <c r="H5" i="6"/>
  <c r="I5" i="6"/>
  <c r="J5" i="6"/>
  <c r="K5" i="6"/>
  <c r="P3" i="6"/>
  <c r="J6" i="6"/>
  <c r="J15" i="6"/>
  <c r="J21" i="6"/>
  <c r="J22" i="6"/>
  <c r="J23" i="6"/>
  <c r="J24" i="6"/>
  <c r="I25" i="6"/>
  <c r="J25" i="6"/>
  <c r="K25" i="6"/>
  <c r="H25" i="6"/>
  <c r="H30" i="6"/>
  <c r="I30" i="6"/>
  <c r="K30" i="6" s="1"/>
  <c r="J30" i="6"/>
  <c r="J8" i="6"/>
  <c r="J26" i="6"/>
  <c r="J13" i="6"/>
  <c r="P2" i="6"/>
  <c r="J2" i="6"/>
  <c r="I27" i="6"/>
  <c r="H27" i="6"/>
  <c r="J27" i="6"/>
  <c r="K27" i="6"/>
  <c r="H29" i="6"/>
  <c r="I29" i="6"/>
  <c r="J29" i="6"/>
  <c r="K29" i="6" s="1"/>
  <c r="J28" i="6"/>
  <c r="H28" i="6"/>
  <c r="I28" i="6"/>
  <c r="K28" i="6" s="1"/>
  <c r="J11" i="6"/>
  <c r="T4" i="5"/>
  <c r="T7" i="5"/>
  <c r="T2" i="5"/>
  <c r="T5" i="5"/>
  <c r="T8" i="5"/>
  <c r="T3" i="5"/>
  <c r="D17" i="7" l="1"/>
  <c r="E17" i="9"/>
  <c r="D18" i="7"/>
  <c r="E18" i="9"/>
  <c r="E20" i="9"/>
  <c r="D20" i="7"/>
  <c r="D3" i="7"/>
  <c r="E3" i="9"/>
  <c r="D25" i="7"/>
  <c r="E25" i="9"/>
  <c r="D26" i="7"/>
  <c r="E26" i="9"/>
  <c r="D28" i="7"/>
  <c r="E28" i="9"/>
  <c r="D29" i="7"/>
  <c r="E29" i="9"/>
  <c r="D30" i="7"/>
  <c r="E30" i="9"/>
  <c r="P5" i="6"/>
  <c r="H17" i="7" l="1"/>
  <c r="I17" i="7"/>
  <c r="J17" i="7"/>
  <c r="I18" i="7"/>
  <c r="J18" i="7"/>
  <c r="K18" i="7" s="1"/>
  <c r="H18" i="7"/>
  <c r="F19" i="1" s="1"/>
  <c r="H20" i="7"/>
  <c r="F21" i="1" s="1"/>
  <c r="I20" i="7"/>
  <c r="J20" i="7"/>
  <c r="J3" i="7"/>
  <c r="H25" i="7"/>
  <c r="F26" i="1" s="1"/>
  <c r="I25" i="7"/>
  <c r="J25" i="7"/>
  <c r="J26" i="7"/>
  <c r="H28" i="7"/>
  <c r="F29" i="1" s="1"/>
  <c r="I28" i="7"/>
  <c r="J28" i="7"/>
  <c r="K28" i="7" s="1"/>
  <c r="J29" i="7"/>
  <c r="J30" i="7"/>
  <c r="I13" i="6"/>
  <c r="K13" i="6" s="1"/>
  <c r="G13" i="6"/>
  <c r="H13" i="6" s="1"/>
  <c r="G10" i="6"/>
  <c r="H10" i="6" s="1"/>
  <c r="G11" i="6"/>
  <c r="H11" i="6" s="1"/>
  <c r="G27" i="6"/>
  <c r="G2" i="6"/>
  <c r="H2" i="6" s="1"/>
  <c r="I26" i="6"/>
  <c r="K26" i="6" s="1"/>
  <c r="G26" i="6"/>
  <c r="H26" i="6" s="1"/>
  <c r="S8" i="6" s="1"/>
  <c r="I8" i="6"/>
  <c r="K8" i="6" s="1"/>
  <c r="G8" i="6"/>
  <c r="H8" i="6" s="1"/>
  <c r="G30" i="6"/>
  <c r="G25" i="6"/>
  <c r="G24" i="6"/>
  <c r="H24" i="6" s="1"/>
  <c r="I24" i="6"/>
  <c r="K24" i="6" s="1"/>
  <c r="G23" i="6"/>
  <c r="H23" i="6" s="1"/>
  <c r="I12" i="6"/>
  <c r="K12" i="6" s="1"/>
  <c r="I23" i="6"/>
  <c r="K23" i="6" s="1"/>
  <c r="G5" i="6"/>
  <c r="G14" i="6"/>
  <c r="H14" i="6" s="1"/>
  <c r="I14" i="6"/>
  <c r="K14" i="6" s="1"/>
  <c r="G20" i="6"/>
  <c r="I10" i="6"/>
  <c r="K10" i="6" s="1"/>
  <c r="G12" i="6"/>
  <c r="H12" i="6" s="1"/>
  <c r="I15" i="6"/>
  <c r="K15" i="6" s="1"/>
  <c r="I6" i="6"/>
  <c r="K6" i="6" s="1"/>
  <c r="G6" i="6"/>
  <c r="H6" i="6" s="1"/>
  <c r="G17" i="6"/>
  <c r="H17" i="6" s="1"/>
  <c r="S6" i="6" s="1"/>
  <c r="I17" i="6"/>
  <c r="K17" i="6" s="1"/>
  <c r="I3" i="6"/>
  <c r="K3" i="6" s="1"/>
  <c r="G3" i="6"/>
  <c r="H3" i="6" s="1"/>
  <c r="G22" i="6"/>
  <c r="H22" i="6" s="1"/>
  <c r="G21" i="6"/>
  <c r="H21" i="6" s="1"/>
  <c r="I21" i="6"/>
  <c r="K21" i="6" s="1"/>
  <c r="G15" i="6"/>
  <c r="H15" i="6" s="1"/>
  <c r="I4" i="6"/>
  <c r="K4" i="6" s="1"/>
  <c r="G4" i="6"/>
  <c r="H4" i="6" s="1"/>
  <c r="G19" i="6"/>
  <c r="I7" i="6"/>
  <c r="K7" i="6" s="1"/>
  <c r="I22" i="6"/>
  <c r="K22" i="6" s="1"/>
  <c r="G7" i="6"/>
  <c r="H7" i="6" s="1"/>
  <c r="G18" i="6"/>
  <c r="G16" i="6"/>
  <c r="H16" i="6" s="1"/>
  <c r="I16" i="6"/>
  <c r="K16" i="6" s="1"/>
  <c r="I9" i="6"/>
  <c r="K9" i="6" s="1"/>
  <c r="G9" i="6"/>
  <c r="H9" i="6" s="1"/>
  <c r="G28" i="6"/>
  <c r="G29" i="6"/>
  <c r="I2" i="6"/>
  <c r="K2" i="6" s="1"/>
  <c r="I11" i="6"/>
  <c r="K11" i="6" s="1"/>
  <c r="I4" i="9"/>
  <c r="K17" i="7" l="1"/>
  <c r="K20" i="7"/>
  <c r="K25" i="7"/>
  <c r="F18" i="1"/>
  <c r="D18" i="8"/>
  <c r="F18" i="9"/>
  <c r="D28" i="8"/>
  <c r="F28" i="9"/>
  <c r="E13" i="9"/>
  <c r="D13" i="7"/>
  <c r="D27" i="7"/>
  <c r="E27" i="9"/>
  <c r="E8" i="9"/>
  <c r="D8" i="7"/>
  <c r="E24" i="9"/>
  <c r="D24" i="7"/>
  <c r="E12" i="9"/>
  <c r="D12" i="7"/>
  <c r="E23" i="9"/>
  <c r="D23" i="7"/>
  <c r="E14" i="9"/>
  <c r="D14" i="7"/>
  <c r="E11" i="9"/>
  <c r="D11" i="7"/>
  <c r="E15" i="9"/>
  <c r="D15" i="7"/>
  <c r="E7" i="9"/>
  <c r="D7" i="7"/>
  <c r="E19" i="9"/>
  <c r="D19" i="7"/>
  <c r="E4" i="9"/>
  <c r="D4" i="7"/>
  <c r="E21" i="9"/>
  <c r="D21" i="7"/>
  <c r="E5" i="9"/>
  <c r="D5" i="7"/>
  <c r="E6" i="9"/>
  <c r="D6" i="7"/>
  <c r="E22" i="9"/>
  <c r="D22" i="7"/>
  <c r="E16" i="9"/>
  <c r="D16" i="7"/>
  <c r="E9" i="9"/>
  <c r="D9" i="7"/>
  <c r="E2" i="9"/>
  <c r="D2" i="7"/>
  <c r="E10" i="9"/>
  <c r="D10" i="7"/>
  <c r="S2" i="6"/>
  <c r="S5" i="6"/>
  <c r="S4" i="6"/>
  <c r="S3" i="6"/>
  <c r="S7" i="6"/>
  <c r="T7" i="6" s="1"/>
  <c r="D17" i="8" l="1"/>
  <c r="F17" i="9"/>
  <c r="D20" i="8"/>
  <c r="F20" i="9"/>
  <c r="D25" i="8"/>
  <c r="F25" i="9"/>
  <c r="G18" i="8"/>
  <c r="H18" i="8"/>
  <c r="I18" i="8"/>
  <c r="J18" i="8"/>
  <c r="G28" i="8"/>
  <c r="H28" i="8"/>
  <c r="I28" i="8"/>
  <c r="J28" i="8"/>
  <c r="K28" i="8" s="1"/>
  <c r="J13" i="7"/>
  <c r="H27" i="7"/>
  <c r="I27" i="7"/>
  <c r="J27" i="7"/>
  <c r="K27" i="7" s="1"/>
  <c r="P4" i="7"/>
  <c r="J8" i="7"/>
  <c r="J24" i="7"/>
  <c r="H12" i="7"/>
  <c r="F13" i="1" s="1"/>
  <c r="I12" i="7"/>
  <c r="J12" i="7"/>
  <c r="K12" i="7" s="1"/>
  <c r="H23" i="7"/>
  <c r="F24" i="1" s="1"/>
  <c r="I23" i="7"/>
  <c r="J23" i="7"/>
  <c r="K23" i="7" s="1"/>
  <c r="J14" i="7"/>
  <c r="H11" i="7"/>
  <c r="F12" i="1" s="1"/>
  <c r="I11" i="7"/>
  <c r="J11" i="7"/>
  <c r="J15" i="7"/>
  <c r="J7" i="7"/>
  <c r="I19" i="7"/>
  <c r="J19" i="7"/>
  <c r="K19" i="7" s="1"/>
  <c r="H19" i="7"/>
  <c r="H4" i="7"/>
  <c r="F5" i="1" s="1"/>
  <c r="I4" i="7"/>
  <c r="J4" i="7"/>
  <c r="K4" i="7" s="1"/>
  <c r="J21" i="7"/>
  <c r="I5" i="7"/>
  <c r="H5" i="7"/>
  <c r="F6" i="1" s="1"/>
  <c r="J5" i="7"/>
  <c r="P3" i="7"/>
  <c r="J6" i="7"/>
  <c r="J22" i="7"/>
  <c r="J16" i="7"/>
  <c r="J9" i="7"/>
  <c r="J2" i="7"/>
  <c r="P2" i="7"/>
  <c r="J10" i="7"/>
  <c r="T6" i="6"/>
  <c r="T8" i="6"/>
  <c r="T2" i="6"/>
  <c r="T5" i="6"/>
  <c r="T3" i="6"/>
  <c r="T4" i="6"/>
  <c r="G17" i="8" l="1"/>
  <c r="H17" i="8"/>
  <c r="I17" i="8"/>
  <c r="J17" i="8"/>
  <c r="K17" i="8"/>
  <c r="G20" i="8"/>
  <c r="H20" i="8"/>
  <c r="I20" i="8"/>
  <c r="J20" i="8"/>
  <c r="K20" i="8" s="1"/>
  <c r="G25" i="8"/>
  <c r="I25" i="8"/>
  <c r="H25" i="8"/>
  <c r="J25" i="8"/>
  <c r="K25" i="8" s="1"/>
  <c r="K5" i="7"/>
  <c r="K18" i="8"/>
  <c r="K11" i="7"/>
  <c r="P5" i="7"/>
  <c r="F28" i="1"/>
  <c r="D27" i="8"/>
  <c r="F27" i="9"/>
  <c r="D12" i="8"/>
  <c r="F12" i="9"/>
  <c r="D23" i="8"/>
  <c r="F23" i="9"/>
  <c r="D11" i="8"/>
  <c r="F11" i="9"/>
  <c r="D19" i="8"/>
  <c r="F19" i="9"/>
  <c r="S6" i="7"/>
  <c r="F20" i="1"/>
  <c r="I7" i="1" s="1"/>
  <c r="F4" i="9"/>
  <c r="D4" i="8"/>
  <c r="D5" i="8"/>
  <c r="F5" i="9"/>
  <c r="G30" i="7"/>
  <c r="G29" i="7"/>
  <c r="G28" i="7"/>
  <c r="E29" i="1" s="1"/>
  <c r="G26" i="7"/>
  <c r="G25" i="7"/>
  <c r="E26" i="1" s="1"/>
  <c r="G3" i="7"/>
  <c r="G20" i="7"/>
  <c r="E21" i="1" s="1"/>
  <c r="G18" i="7"/>
  <c r="E19" i="1" s="1"/>
  <c r="G17" i="7"/>
  <c r="E18" i="1" s="1"/>
  <c r="I5" i="9"/>
  <c r="E1" i="1"/>
  <c r="G10" i="7"/>
  <c r="G8" i="7"/>
  <c r="I8" i="7"/>
  <c r="K8" i="7" s="1"/>
  <c r="I29" i="7" l="1"/>
  <c r="K29" i="7" s="1"/>
  <c r="I30" i="7"/>
  <c r="K30" i="7" s="1"/>
  <c r="E31" i="1"/>
  <c r="H30" i="7"/>
  <c r="F31" i="1" s="1"/>
  <c r="D29" i="8"/>
  <c r="F29" i="9"/>
  <c r="E30" i="1"/>
  <c r="H29" i="7"/>
  <c r="F30" i="1" s="1"/>
  <c r="I24" i="7"/>
  <c r="K24" i="7" s="1"/>
  <c r="I26" i="7"/>
  <c r="K26" i="7" s="1"/>
  <c r="E27" i="1"/>
  <c r="H26" i="7"/>
  <c r="I21" i="7"/>
  <c r="K21" i="7" s="1"/>
  <c r="I22" i="7"/>
  <c r="K22" i="7" s="1"/>
  <c r="I2" i="7"/>
  <c r="K2" i="7" s="1"/>
  <c r="I3" i="7"/>
  <c r="K3" i="7" s="1"/>
  <c r="I13" i="7"/>
  <c r="K13" i="7" s="1"/>
  <c r="I15" i="7"/>
  <c r="K15" i="7" s="1"/>
  <c r="I16" i="7"/>
  <c r="K16" i="7" s="1"/>
  <c r="G27" i="7"/>
  <c r="E28" i="1" s="1"/>
  <c r="G23" i="7"/>
  <c r="E24" i="1" s="1"/>
  <c r="G9" i="7"/>
  <c r="H9" i="7" s="1"/>
  <c r="F10" i="1" s="1"/>
  <c r="G13" i="7"/>
  <c r="G11" i="7"/>
  <c r="E12" i="1" s="1"/>
  <c r="G15" i="7"/>
  <c r="G6" i="7"/>
  <c r="H6" i="7" s="1"/>
  <c r="G22" i="7"/>
  <c r="I10" i="7"/>
  <c r="K10" i="7" s="1"/>
  <c r="G7" i="7"/>
  <c r="H7" i="7" s="1"/>
  <c r="F8" i="1" s="1"/>
  <c r="G19" i="7"/>
  <c r="E20" i="1" s="1"/>
  <c r="G4" i="7"/>
  <c r="E5" i="1" s="1"/>
  <c r="G14" i="7"/>
  <c r="G12" i="7"/>
  <c r="E13" i="1" s="1"/>
  <c r="I6" i="7"/>
  <c r="K6" i="7" s="1"/>
  <c r="G24" i="7"/>
  <c r="G16" i="7"/>
  <c r="G2" i="7"/>
  <c r="H2" i="7" s="1"/>
  <c r="G21" i="7"/>
  <c r="G5" i="7"/>
  <c r="E6" i="1" s="1"/>
  <c r="I14" i="7"/>
  <c r="K14" i="7" s="1"/>
  <c r="I7" i="7"/>
  <c r="K7" i="7" s="1"/>
  <c r="I9" i="7"/>
  <c r="K9" i="7" s="1"/>
  <c r="E10" i="1"/>
  <c r="E8" i="1"/>
  <c r="D24" i="8"/>
  <c r="F24" i="9"/>
  <c r="E4" i="1"/>
  <c r="H3" i="7"/>
  <c r="F4" i="1" s="1"/>
  <c r="E3" i="1"/>
  <c r="G27" i="8"/>
  <c r="H27" i="8"/>
  <c r="I27" i="8"/>
  <c r="J27" i="8"/>
  <c r="G12" i="8"/>
  <c r="H12" i="8"/>
  <c r="I12" i="8"/>
  <c r="J12" i="8"/>
  <c r="K12" i="8" s="1"/>
  <c r="G23" i="8"/>
  <c r="H23" i="8"/>
  <c r="I23" i="8"/>
  <c r="J23" i="8"/>
  <c r="K23" i="8" s="1"/>
  <c r="G11" i="8"/>
  <c r="H11" i="8"/>
  <c r="I11" i="8"/>
  <c r="J11" i="8"/>
  <c r="G19" i="8"/>
  <c r="H19" i="8"/>
  <c r="S6" i="8" s="1"/>
  <c r="I19" i="8"/>
  <c r="J19" i="8"/>
  <c r="G4" i="8"/>
  <c r="H4" i="8"/>
  <c r="I4" i="8"/>
  <c r="J4" i="8"/>
  <c r="K4" i="8" s="1"/>
  <c r="G5" i="8"/>
  <c r="H5" i="8"/>
  <c r="I5" i="8"/>
  <c r="J5" i="8"/>
  <c r="H10" i="7"/>
  <c r="E11" i="1"/>
  <c r="H8" i="7"/>
  <c r="F9" i="1" s="1"/>
  <c r="E9" i="1"/>
  <c r="D8" i="8"/>
  <c r="F8" i="9"/>
  <c r="E7" i="1"/>
  <c r="F30" i="9" l="1"/>
  <c r="D30" i="8"/>
  <c r="J29" i="8"/>
  <c r="I29" i="8"/>
  <c r="H29" i="8"/>
  <c r="G29" i="8"/>
  <c r="F26" i="9"/>
  <c r="D26" i="8"/>
  <c r="S8" i="7"/>
  <c r="F27" i="1"/>
  <c r="I9" i="1" s="1"/>
  <c r="K27" i="8"/>
  <c r="D21" i="8"/>
  <c r="F21" i="9"/>
  <c r="E25" i="1"/>
  <c r="H24" i="7"/>
  <c r="F25" i="1" s="1"/>
  <c r="D22" i="8"/>
  <c r="F22" i="9"/>
  <c r="E23" i="1"/>
  <c r="H22" i="7"/>
  <c r="F23" i="1" s="1"/>
  <c r="E22" i="1"/>
  <c r="H21" i="7"/>
  <c r="F2" i="9"/>
  <c r="D2" i="8"/>
  <c r="F3" i="9"/>
  <c r="D3" i="8"/>
  <c r="F15" i="9"/>
  <c r="D15" i="8"/>
  <c r="D13" i="8"/>
  <c r="F13" i="9"/>
  <c r="E14" i="1"/>
  <c r="H13" i="7"/>
  <c r="F14" i="1" s="1"/>
  <c r="D6" i="8"/>
  <c r="F6" i="9"/>
  <c r="F16" i="9"/>
  <c r="D16" i="8"/>
  <c r="E17" i="1"/>
  <c r="H16" i="7"/>
  <c r="F17" i="1" s="1"/>
  <c r="E16" i="1"/>
  <c r="H15" i="7"/>
  <c r="F16" i="1" s="1"/>
  <c r="H14" i="7"/>
  <c r="E15" i="1"/>
  <c r="D14" i="8"/>
  <c r="F14" i="9"/>
  <c r="F10" i="9"/>
  <c r="D10" i="8"/>
  <c r="F7" i="9"/>
  <c r="D7" i="8"/>
  <c r="F9" i="9"/>
  <c r="D9" i="8"/>
  <c r="H3" i="8"/>
  <c r="G3" i="8"/>
  <c r="K19" i="8"/>
  <c r="G24" i="8"/>
  <c r="H24" i="8"/>
  <c r="I24" i="8"/>
  <c r="J24" i="8"/>
  <c r="K24" i="8" s="1"/>
  <c r="G2" i="8"/>
  <c r="J2" i="8"/>
  <c r="S2" i="7"/>
  <c r="F3" i="1"/>
  <c r="I3" i="1" s="1"/>
  <c r="K11" i="8"/>
  <c r="K5" i="8"/>
  <c r="S4" i="7"/>
  <c r="F11" i="1"/>
  <c r="I5" i="1" s="1"/>
  <c r="G8" i="8"/>
  <c r="H8" i="8"/>
  <c r="I8" i="8"/>
  <c r="J8" i="8"/>
  <c r="S3" i="7"/>
  <c r="F7" i="1"/>
  <c r="I4" i="1" s="1"/>
  <c r="G10" i="8"/>
  <c r="H10" i="8"/>
  <c r="S4" i="8" s="1"/>
  <c r="J30" i="8" l="1"/>
  <c r="I30" i="8"/>
  <c r="H30" i="8"/>
  <c r="G30" i="8"/>
  <c r="K29" i="8"/>
  <c r="G6" i="8"/>
  <c r="H6" i="8"/>
  <c r="I6" i="8"/>
  <c r="J6" i="8"/>
  <c r="I10" i="8"/>
  <c r="J10" i="8"/>
  <c r="K10" i="8" s="1"/>
  <c r="J26" i="8"/>
  <c r="H26" i="8"/>
  <c r="G26" i="8"/>
  <c r="I26" i="8"/>
  <c r="K6" i="8"/>
  <c r="J21" i="8"/>
  <c r="G21" i="8"/>
  <c r="H21" i="8"/>
  <c r="I21" i="8"/>
  <c r="K21" i="8"/>
  <c r="J22" i="8"/>
  <c r="G22" i="8"/>
  <c r="H22" i="8"/>
  <c r="I22" i="8"/>
  <c r="H2" i="8"/>
  <c r="S2" i="8" s="1"/>
  <c r="I2" i="8"/>
  <c r="K2" i="8" s="1"/>
  <c r="J3" i="8"/>
  <c r="K3" i="8" s="1"/>
  <c r="I3" i="8"/>
  <c r="S7" i="7"/>
  <c r="F22" i="1"/>
  <c r="I8" i="1" s="1"/>
  <c r="H15" i="8"/>
  <c r="G15" i="8"/>
  <c r="I15" i="8"/>
  <c r="J15" i="8"/>
  <c r="H13" i="8"/>
  <c r="J13" i="8"/>
  <c r="I13" i="8"/>
  <c r="G13" i="8"/>
  <c r="I16" i="8"/>
  <c r="H16" i="8"/>
  <c r="G16" i="8"/>
  <c r="J16" i="8"/>
  <c r="S5" i="7"/>
  <c r="F15" i="1"/>
  <c r="I6" i="1" s="1"/>
  <c r="J14" i="8"/>
  <c r="I14" i="8"/>
  <c r="H14" i="8"/>
  <c r="G14" i="8"/>
  <c r="J7" i="8"/>
  <c r="I7" i="8"/>
  <c r="H7" i="8"/>
  <c r="G7" i="8"/>
  <c r="I9" i="8"/>
  <c r="J9" i="8"/>
  <c r="H9" i="8"/>
  <c r="G9" i="8"/>
  <c r="K8" i="8"/>
  <c r="K30" i="8" l="1"/>
  <c r="S8" i="8"/>
  <c r="K26" i="8"/>
  <c r="K9" i="8"/>
  <c r="S7" i="8"/>
  <c r="K22" i="8"/>
  <c r="K15" i="8"/>
  <c r="K13" i="8"/>
  <c r="K16" i="8"/>
  <c r="S5" i="8"/>
  <c r="S3" i="8"/>
  <c r="K14" i="8"/>
  <c r="K7" i="8"/>
  <c r="T8" i="7"/>
  <c r="T5" i="7"/>
  <c r="T6" i="7"/>
  <c r="T2" i="7"/>
  <c r="T3" i="7"/>
  <c r="T4" i="7"/>
  <c r="T7" i="7"/>
  <c r="J6" i="1"/>
  <c r="J7" i="1"/>
  <c r="J4" i="1"/>
  <c r="J3" i="1"/>
  <c r="J5" i="1"/>
  <c r="J8" i="1"/>
  <c r="J9" i="1"/>
  <c r="T5" i="8" l="1"/>
  <c r="T4" i="8"/>
  <c r="T3" i="8"/>
  <c r="T6" i="8"/>
  <c r="T7" i="8"/>
  <c r="T8" i="8"/>
  <c r="T2" i="8"/>
</calcChain>
</file>

<file path=xl/sharedStrings.xml><?xml version="1.0" encoding="utf-8"?>
<sst xmlns="http://schemas.openxmlformats.org/spreadsheetml/2006/main" count="351" uniqueCount="86">
  <si>
    <t>Showing sheet:</t>
  </si>
  <si>
    <t>Witches Triple Crown</t>
  </si>
  <si>
    <t>Par:</t>
  </si>
  <si>
    <t>Team</t>
  </si>
  <si>
    <t>Runner</t>
  </si>
  <si>
    <t>Rank</t>
  </si>
  <si>
    <t>Fastest Time</t>
  </si>
  <si>
    <t>Target</t>
  </si>
  <si>
    <t>Score</t>
  </si>
  <si>
    <t>Team Score</t>
  </si>
  <si>
    <t>Setting</t>
  </si>
  <si>
    <t>Value</t>
  </si>
  <si>
    <t>Panel runner 1</t>
  </si>
  <si>
    <t>Ben Wernick</t>
  </si>
  <si>
    <t>Panel runner 2</t>
  </si>
  <si>
    <t>Mark Emery</t>
  </si>
  <si>
    <t>Panel runner 3</t>
  </si>
  <si>
    <t>Anne Marie Moon</t>
  </si>
  <si>
    <t>Standard weight</t>
  </si>
  <si>
    <t>Calibration weight (new/returning)</t>
  </si>
  <si>
    <t>Score cap (upper)</t>
  </si>
  <si>
    <t>Score cap (lower)</t>
  </si>
  <si>
    <t>No-run penalty</t>
  </si>
  <si>
    <t>Calibration runs granted</t>
  </si>
  <si>
    <t>Miss streak trigger</t>
  </si>
  <si>
    <t>How it works</t>
  </si>
  <si>
    <t>PAR: each panel runner's (time / ratio in) estimates what a 1.000-ratio runner would run today; par = MEDIAN of the three estimates, so one unrepresentative panel day is ignored.</t>
  </si>
  <si>
    <t>The panel are reliable runners who run the segment early, so everyone else knows their target (ratio x par) before running.</t>
  </si>
  <si>
    <t>Panel defaults to the names above; to use different runners for one segment, type their names over the panel cells (O2:O4) on that segment's sheet.</t>
  </si>
  <si>
    <t>If a panel runner has no time, their estimate is blank and the median uses the remaining two - name a substitute in O2:O4 instead where possible.</t>
  </si>
  <si>
    <t>SCORING: score = (target - time) / target, capped by the limits above; no time = no-run penalty; team score = average of team members' scores.</t>
  </si>
  <si>
    <t>RATIO UPDATE: new ratio = ratio - weight x (ratio - time/par). Weight is the calibration weight while a runner has calibration runs remaining (new joiners and returners), else the standard weight.</t>
  </si>
  <si>
    <t>NEW JOINER: add team + name + time on any blank row; their ratio self-seeds as time/par (debut score = 0 by construction) and they get the calibration weight for their next runs.</t>
  </si>
  <si>
    <t>RETURNER: a runner missing [miss streak trigger] consecutive segments keeps their ratio but is re-granted [calibration runs granted] calibration-weight runs when they return.</t>
  </si>
  <si>
    <t>NEXT SEGMENT: enter times on Next Segment as runners post them (blank = did not run). When closed: rename the sheet to the segment name; duplicate it; rename the copy Next Segment; clear its Time column; find&amp;replace the previous sheet name in columns D/E/F; extend Ratio History.</t>
  </si>
  <si>
    <t>RESULTS: the shareable live view. It pulls from whatever sheet is named in its cell B1 (default Next Segment), so it updates as times are entered and automatically shows each new segment. To look back at a closed segment, type that sheet name into B1. Scores shade red to green (dark red = no-run penalty, grey = lower cap, dark green = upper cap); team and runner ranks 1/2/3 show gold/silver/bronze.</t>
  </si>
  <si>
    <t>Start Ratio</t>
  </si>
  <si>
    <t>Calibration Runs Left</t>
  </si>
  <si>
    <t>Missed In A Row</t>
  </si>
  <si>
    <t>Tom Rhoden</t>
  </si>
  <si>
    <t>Lisa King</t>
  </si>
  <si>
    <t>Luke Sibieta</t>
  </si>
  <si>
    <t>Matt Snell</t>
  </si>
  <si>
    <t>Gareth Lawrence</t>
  </si>
  <si>
    <t>Neil Price</t>
  </si>
  <si>
    <t>Rhidian Jones</t>
  </si>
  <si>
    <t>Andy Shanahan</t>
  </si>
  <si>
    <t>Rachel Price</t>
  </si>
  <si>
    <t>Emma Jones</t>
  </si>
  <si>
    <t>Claire Emery</t>
  </si>
  <si>
    <t>Helen Lawrence</t>
  </si>
  <si>
    <t>Ebony Vanderras</t>
  </si>
  <si>
    <t>Jennifer Morris</t>
  </si>
  <si>
    <t>Keziah Rhoden</t>
  </si>
  <si>
    <t>Lizz Ryan</t>
  </si>
  <si>
    <t>Sarah Woods</t>
  </si>
  <si>
    <t>Sarah Felvus</t>
  </si>
  <si>
    <t>Nia Williams</t>
  </si>
  <si>
    <t>Janine Payne</t>
  </si>
  <si>
    <t>Elinor Landeg</t>
  </si>
  <si>
    <t>Tom Andrews</t>
  </si>
  <si>
    <t>Owain Jones</t>
  </si>
  <si>
    <t>Ady Hayhoe</t>
  </si>
  <si>
    <t>David Payne</t>
  </si>
  <si>
    <t>Beth Palmer</t>
  </si>
  <si>
    <t>Time</t>
  </si>
  <si>
    <t>Ratio In</t>
  </si>
  <si>
    <t>Calibration Runs Left (in)</t>
  </si>
  <si>
    <t>Missed In A Row (in)</t>
  </si>
  <si>
    <t>Day Ratio</t>
  </si>
  <si>
    <t>Weight</t>
  </si>
  <si>
    <t>New Ratio</t>
  </si>
  <si>
    <t>Calibration Runs Left (out)</t>
  </si>
  <si>
    <t>Missed In A Row (out)</t>
  </si>
  <si>
    <t>Panel par estimates (time / ratio in)</t>
  </si>
  <si>
    <t>PAR (median of panel)</t>
  </si>
  <si>
    <t>Start</t>
  </si>
  <si>
    <t>After Sting in the tail</t>
  </si>
  <si>
    <t>After Dune Bugger</t>
  </si>
  <si>
    <t>After Sword in the stepping stone</t>
  </si>
  <si>
    <t>After Witches Triple Crown</t>
  </si>
  <si>
    <t>Segment</t>
  </si>
  <si>
    <t>Par</t>
  </si>
  <si>
    <t>Sting in the tail</t>
  </si>
  <si>
    <t>Dune Bugger</t>
  </si>
  <si>
    <t>Sword in the stepping 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</si>
</sst>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00FF"/>
        <bgColor rgb="FFFF00FF"/>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164" fontId="0" fillId="0" borderId="0" xfId="0" applyNumberFormat="1"/>
    <xf numFmtId="165" fontId="0" fillId="0" borderId="0" xfId="0" applyNumberFormat="1"/>
    <xf numFmtId="0" fontId="0" fillId="0" borderId="0" xfId="0" applyAlignment="1">
      <alignment vertical="top" wrapText="1"/>
    </xf>
    <xf numFmtId="21" fontId="0" fillId="0" borderId="0" xfId="0" applyNumberFormat="1"/>
    <xf numFmtId="0" fontId="0" fillId="3" borderId="0" xfId="0" applyFill="1"/>
    <xf numFmtId="0" fontId="1" fillId="2" borderId="1" xfId="0" applyFont="1" applyFill="1" applyBorder="1"/>
    <xf numFmtId="0" fontId="0" fillId="0" borderId="1" xfId="0" applyBorder="1"/>
    <xf numFmtId="21" fontId="0" fillId="0" borderId="1" xfId="0" applyNumberFormat="1" applyBorder="1"/>
    <xf numFmtId="165" fontId="0" fillId="0" borderId="1" xfId="0" applyNumberFormat="1" applyBorder="1"/>
  </cellXfs>
  <cellStyles count="1">
    <cellStyle name="Normal" xfId="0" builtinId="0"/>
  </cellStyles>
  <dxfs count="22">
    <dxf>
      <font>
        <color rgb="FF833C0B"/>
      </font>
      <fill>
        <patternFill patternType="solid">
          <fgColor rgb="FFF4B183"/>
          <bgColor rgb="FFF4B183"/>
        </patternFill>
      </fill>
    </dxf>
    <dxf>
      <font>
        <color rgb="FF404040"/>
      </font>
      <fill>
        <patternFill patternType="solid">
          <fgColor rgb="FFD9E1F2"/>
          <bgColor rgb="FFD9E1F2"/>
        </patternFill>
      </fill>
    </dxf>
    <dxf>
      <font>
        <color rgb="FF7F6000"/>
      </font>
      <fill>
        <patternFill patternType="solid">
          <fgColor rgb="FFFFD966"/>
          <bgColor rgb="FFFFD966"/>
        </patternFill>
      </fill>
    </dxf>
    <dxf>
      <font>
        <color rgb="FF990000"/>
      </font>
      <fill>
        <patternFill patternType="solid">
          <fgColor rgb="FFF4CCCC"/>
          <bgColor rgb="FFF4CCCC"/>
        </patternFill>
      </fill>
    </dxf>
    <dxf>
      <font>
        <color rgb="FF843C0C"/>
      </font>
      <fill>
        <patternFill patternType="solid">
          <fgColor rgb="FFFCE4D6"/>
          <bgColor rgb="FFFCE4D6"/>
        </patternFill>
      </fill>
    </dxf>
    <dxf>
      <font>
        <color rgb="FF375623"/>
      </font>
      <fill>
        <patternFill patternType="solid">
          <fgColor rgb="FFE2F0D9"/>
          <bgColor rgb="FFE2F0D9"/>
        </patternFill>
      </fill>
    </dxf>
    <dxf>
      <font>
        <color rgb="FF215E21"/>
      </font>
      <fill>
        <patternFill patternType="solid">
          <fgColor rgb="FFA9D18E"/>
          <bgColor rgb="FFA9D18E"/>
        </patternFill>
      </fill>
    </dxf>
    <dxf>
      <font>
        <color rgb="FF1F4E78"/>
      </font>
      <fill>
        <patternFill patternType="solid">
          <fgColor rgb="FFDDEBF7"/>
          <bgColor rgb="FFDDEBF7"/>
        </patternFill>
      </fill>
    </dxf>
    <dxf>
      <font>
        <color rgb="FFFFFFFF"/>
      </font>
      <fill>
        <patternFill patternType="solid">
          <fgColor rgb="FF548235"/>
          <bgColor rgb="FF548235"/>
        </patternFill>
      </fill>
    </dxf>
    <dxf>
      <font>
        <color rgb="FF595959"/>
      </font>
      <fill>
        <patternFill patternType="solid">
          <fgColor rgb="FFD9D9D9"/>
          <bgColor rgb="FFD9D9D9"/>
        </patternFill>
      </fill>
    </dxf>
    <dxf>
      <font>
        <color rgb="FFFFFFFF"/>
      </font>
      <fill>
        <patternFill patternType="solid">
          <fgColor rgb="FFC00000"/>
          <bgColor rgb="FFC00000"/>
        </patternFill>
      </fill>
    </dxf>
    <dxf>
      <font>
        <color rgb="FF990000"/>
      </font>
      <fill>
        <patternFill patternType="solid">
          <fgColor rgb="FFF4CCCC"/>
          <bgColor rgb="FFF4CCCC"/>
        </patternFill>
      </fill>
    </dxf>
    <dxf>
      <font>
        <color rgb="FF843C0C"/>
      </font>
      <fill>
        <patternFill patternType="solid">
          <fgColor rgb="FFFCE4D6"/>
          <bgColor rgb="FFFCE4D6"/>
        </patternFill>
      </fill>
    </dxf>
    <dxf>
      <font>
        <color rgb="FF375623"/>
      </font>
      <fill>
        <patternFill patternType="solid">
          <fgColor rgb="FFE2F0D9"/>
          <bgColor rgb="FFE2F0D9"/>
        </patternFill>
      </fill>
    </dxf>
    <dxf>
      <font>
        <color rgb="FF215E21"/>
      </font>
      <fill>
        <patternFill patternType="solid">
          <fgColor rgb="FFA9D18E"/>
          <bgColor rgb="FFA9D18E"/>
        </patternFill>
      </fill>
    </dxf>
    <dxf>
      <font>
        <color rgb="FF1F4E78"/>
      </font>
      <fill>
        <patternFill patternType="solid">
          <fgColor rgb="FFDDEBF7"/>
          <bgColor rgb="FFDDEBF7"/>
        </patternFill>
      </fill>
    </dxf>
    <dxf>
      <font>
        <color rgb="FFFFFFFF"/>
      </font>
      <fill>
        <patternFill patternType="solid">
          <fgColor rgb="FF548235"/>
          <bgColor rgb="FF548235"/>
        </patternFill>
      </fill>
    </dxf>
    <dxf>
      <font>
        <color rgb="FF595959"/>
      </font>
      <fill>
        <patternFill patternType="solid">
          <fgColor rgb="FFD9D9D9"/>
          <bgColor rgb="FFD9D9D9"/>
        </patternFill>
      </fill>
    </dxf>
    <dxf>
      <font>
        <color rgb="FFFFFFFF"/>
      </font>
      <fill>
        <patternFill patternType="solid">
          <fgColor rgb="FFC00000"/>
          <bgColor rgb="FFC00000"/>
        </patternFill>
      </fill>
    </dxf>
    <dxf>
      <font>
        <color rgb="FF833C0B"/>
      </font>
      <fill>
        <patternFill patternType="solid">
          <fgColor rgb="FFF4B183"/>
          <bgColor rgb="FFF4B183"/>
        </patternFill>
      </fill>
    </dxf>
    <dxf>
      <font>
        <color rgb="FF404040"/>
      </font>
      <fill>
        <patternFill patternType="solid">
          <fgColor rgb="FFD9E1F2"/>
          <bgColor rgb="FFD9E1F2"/>
        </patternFill>
      </fill>
    </dxf>
    <dxf>
      <font>
        <color rgb="FF7F6000"/>
      </font>
      <fill>
        <patternFill patternType="solid">
          <fgColor rgb="FFFFD966"/>
          <bgColor rgb="FFFFD96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workbookViewId="0">
      <selection activeCell="C7" sqref="C7"/>
    </sheetView>
  </sheetViews>
  <sheetFormatPr baseColWidth="10" defaultColWidth="8.83203125" defaultRowHeight="15" x14ac:dyDescent="0.2"/>
  <cols>
    <col min="2" max="2" width="22.33203125" bestFit="1" customWidth="1"/>
    <col min="4" max="6" width="12" customWidth="1"/>
    <col min="9" max="9" width="12" customWidth="1"/>
  </cols>
  <sheetData>
    <row r="1" spans="1:10" x14ac:dyDescent="0.2">
      <c r="A1" s="1" t="s">
        <v>0</v>
      </c>
      <c r="B1" s="6" t="s">
        <v>1</v>
      </c>
      <c r="D1" s="1" t="s">
        <v>2</v>
      </c>
      <c r="E1" s="5">
        <f ca="1">IFERROR(INDIRECT("'"&amp;$B$1&amp;"'!P5"),"")</f>
        <v>1.2409874593223437E-2</v>
      </c>
    </row>
    <row r="2" spans="1:10" x14ac:dyDescent="0.2">
      <c r="A2" s="7" t="s">
        <v>3</v>
      </c>
      <c r="B2" s="7" t="s">
        <v>4</v>
      </c>
      <c r="C2" s="7" t="s">
        <v>5</v>
      </c>
      <c r="D2" s="7" t="s">
        <v>6</v>
      </c>
      <c r="E2" s="7" t="s">
        <v>7</v>
      </c>
      <c r="F2" s="7" t="s">
        <v>8</v>
      </c>
      <c r="H2" s="7" t="s">
        <v>3</v>
      </c>
      <c r="I2" s="7" t="s">
        <v>9</v>
      </c>
      <c r="J2" s="7" t="s">
        <v>5</v>
      </c>
    </row>
    <row r="3" spans="1:10" x14ac:dyDescent="0.2">
      <c r="A3" s="8">
        <f t="shared" ref="A3:A37" ca="1" si="0">IF($B3="","",INDIRECT("'"&amp;$B$1&amp;"'!A"&amp;ROW()-1))</f>
        <v>1</v>
      </c>
      <c r="B3" s="8" t="str">
        <f t="shared" ref="B3:B37" ca="1" si="1">IF(INDIRECT("'"&amp;$B$1&amp;"'!B"&amp;ROW()-1)=0,"",INDIRECT("'"&amp;$B$1&amp;"'!B"&amp;ROW()-1))</f>
        <v>Ben Wernick</v>
      </c>
      <c r="C3" s="8">
        <f t="shared" ref="C3:C37" ca="1" si="2">IF(OR($B3="",$D3=""),"",RANK($D3,$D$3:$D$37,1))</f>
        <v>12</v>
      </c>
      <c r="D3" s="9">
        <f t="shared" ref="D3:D37" ca="1" si="3">IF($B3="","",IF(INDIRECT("'"&amp;$B$1&amp;"'!C"&amp;ROW()-1)=0,"",INDIRECT("'"&amp;$B$1&amp;"'!C"&amp;ROW()-1)))</f>
        <v>2.3958333333333335E-2</v>
      </c>
      <c r="E3" s="9">
        <f t="shared" ref="E3:E37" ca="1" si="4">IF($B3="","",INDIRECT("'"&amp;$B$1&amp;"'!G"&amp;ROW()-1))</f>
        <v>1.247325639343067E-2</v>
      </c>
      <c r="F3" s="10">
        <f t="shared" ref="F3:F37" ca="1" si="5">IF($B3="","",INDIRECT("'"&amp;$B$1&amp;"'!H"&amp;ROW()-1))</f>
        <v>-0.05</v>
      </c>
      <c r="H3" s="8">
        <v>1</v>
      </c>
      <c r="I3" s="10">
        <f t="shared" ref="I3:I9" ca="1" si="6">IF(COUNTIF($A$3:$A$37,$H3)=0,"",AVERAGEIF($A$3:$A$37,$H3,$F$3:$F$37))</f>
        <v>-6.25E-2</v>
      </c>
      <c r="J3" s="8">
        <f t="shared" ref="J3:J9" ca="1" si="7">IF($I3="","",RANK($I3,$I$3:$I$9))</f>
        <v>6</v>
      </c>
    </row>
    <row r="4" spans="1:10" x14ac:dyDescent="0.2">
      <c r="A4" s="8">
        <f t="shared" ca="1" si="0"/>
        <v>1</v>
      </c>
      <c r="B4" s="8" t="str">
        <f t="shared" ca="1" si="1"/>
        <v>Tom Rhoden</v>
      </c>
      <c r="C4" s="8">
        <f t="shared" ca="1" si="2"/>
        <v>13</v>
      </c>
      <c r="D4" s="9">
        <f t="shared" ca="1" si="3"/>
        <v>2.3993055555555556E-2</v>
      </c>
      <c r="E4" s="9">
        <f t="shared" ca="1" si="4"/>
        <v>1.3452461981077706E-2</v>
      </c>
      <c r="F4" s="10">
        <f t="shared" ca="1" si="5"/>
        <v>-0.05</v>
      </c>
      <c r="H4" s="8">
        <v>2</v>
      </c>
      <c r="I4" s="10">
        <f t="shared" ca="1" si="6"/>
        <v>-2.7408682575516541E-2</v>
      </c>
      <c r="J4" s="8">
        <f t="shared" ca="1" si="7"/>
        <v>1</v>
      </c>
    </row>
    <row r="5" spans="1:10" x14ac:dyDescent="0.2">
      <c r="A5" s="8">
        <f t="shared" ca="1" si="0"/>
        <v>1</v>
      </c>
      <c r="B5" s="8" t="str">
        <f t="shared" ca="1" si="1"/>
        <v>Anne Marie Moon</v>
      </c>
      <c r="C5" s="8" t="str">
        <f t="shared" ca="1" si="2"/>
        <v/>
      </c>
      <c r="D5" s="9" t="str">
        <f t="shared" ca="1" si="3"/>
        <v/>
      </c>
      <c r="E5" s="9">
        <f t="shared" ca="1" si="4"/>
        <v>1.4497942094717086E-2</v>
      </c>
      <c r="F5" s="10">
        <f t="shared" ca="1" si="5"/>
        <v>-7.4999999999999997E-2</v>
      </c>
      <c r="H5" s="8">
        <v>3</v>
      </c>
      <c r="I5" s="10">
        <f t="shared" ca="1" si="6"/>
        <v>-4.70335239467169E-2</v>
      </c>
      <c r="J5" s="8">
        <f t="shared" ca="1" si="7"/>
        <v>3</v>
      </c>
    </row>
    <row r="6" spans="1:10" x14ac:dyDescent="0.2">
      <c r="A6" s="8">
        <f t="shared" ca="1" si="0"/>
        <v>1</v>
      </c>
      <c r="B6" s="8" t="str">
        <f t="shared" ca="1" si="1"/>
        <v>Lisa King</v>
      </c>
      <c r="C6" s="8" t="str">
        <f t="shared" ca="1" si="2"/>
        <v/>
      </c>
      <c r="D6" s="9" t="str">
        <f t="shared" ca="1" si="3"/>
        <v/>
      </c>
      <c r="E6" s="9">
        <f t="shared" ca="1" si="4"/>
        <v>1.5601518540636843E-2</v>
      </c>
      <c r="F6" s="10">
        <f t="shared" ca="1" si="5"/>
        <v>-7.4999999999999997E-2</v>
      </c>
      <c r="H6" s="8">
        <v>4</v>
      </c>
      <c r="I6" s="10">
        <f t="shared" ca="1" si="6"/>
        <v>-5.6249999999999994E-2</v>
      </c>
      <c r="J6" s="8">
        <f t="shared" ca="1" si="7"/>
        <v>4</v>
      </c>
    </row>
    <row r="7" spans="1:10" x14ac:dyDescent="0.2">
      <c r="A7" s="8">
        <f t="shared" ca="1" si="0"/>
        <v>2</v>
      </c>
      <c r="B7" s="8" t="str">
        <f t="shared" ca="1" si="1"/>
        <v>Luke Sibieta</v>
      </c>
      <c r="C7" s="8">
        <f t="shared" ca="1" si="2"/>
        <v>2</v>
      </c>
      <c r="D7" s="9">
        <f t="shared" ca="1" si="3"/>
        <v>1.3263888888888889E-2</v>
      </c>
      <c r="E7" s="9">
        <f t="shared" ca="1" si="4"/>
        <v>1.3137314407677469E-2</v>
      </c>
      <c r="F7" s="10">
        <f t="shared" ca="1" si="5"/>
        <v>-9.6347303020661631E-3</v>
      </c>
      <c r="H7" s="8">
        <v>5</v>
      </c>
      <c r="I7" s="10">
        <f t="shared" ca="1" si="6"/>
        <v>-7.4999999999999997E-2</v>
      </c>
      <c r="J7" s="8">
        <f t="shared" ca="1" si="7"/>
        <v>7</v>
      </c>
    </row>
    <row r="8" spans="1:10" x14ac:dyDescent="0.2">
      <c r="A8" s="8">
        <f t="shared" ca="1" si="0"/>
        <v>2</v>
      </c>
      <c r="B8" s="8" t="str">
        <f t="shared" ca="1" si="1"/>
        <v>Mark Emery</v>
      </c>
      <c r="C8" s="8">
        <f t="shared" ca="1" si="2"/>
        <v>1</v>
      </c>
      <c r="D8" s="9">
        <f t="shared" ca="1" si="3"/>
        <v>1.275462962962963E-2</v>
      </c>
      <c r="E8" s="9">
        <f t="shared" ca="1" si="4"/>
        <v>1.2077048009341097E-2</v>
      </c>
      <c r="F8" s="10">
        <f t="shared" ca="1" si="5"/>
        <v>-0.05</v>
      </c>
      <c r="H8" s="8">
        <v>6</v>
      </c>
      <c r="I8" s="10">
        <f t="shared" ca="1" si="6"/>
        <v>-0.06</v>
      </c>
      <c r="J8" s="8">
        <f t="shared" ca="1" si="7"/>
        <v>5</v>
      </c>
    </row>
    <row r="9" spans="1:10" x14ac:dyDescent="0.2">
      <c r="A9" s="8">
        <f t="shared" ca="1" si="0"/>
        <v>2</v>
      </c>
      <c r="B9" s="8" t="str">
        <f t="shared" ca="1" si="1"/>
        <v>Matt Snell</v>
      </c>
      <c r="C9" s="8">
        <f t="shared" ca="1" si="2"/>
        <v>4</v>
      </c>
      <c r="D9" s="9">
        <f t="shared" ca="1" si="3"/>
        <v>1.391203703703704E-2</v>
      </c>
      <c r="E9" s="9">
        <f t="shared" ca="1" si="4"/>
        <v>1.391203703703704E-2</v>
      </c>
      <c r="F9" s="10">
        <f t="shared" ca="1" si="5"/>
        <v>0</v>
      </c>
      <c r="H9" s="8">
        <v>7</v>
      </c>
      <c r="I9" s="10">
        <f t="shared" ca="1" si="6"/>
        <v>-4.539703995718377E-2</v>
      </c>
      <c r="J9" s="8">
        <f t="shared" ca="1" si="7"/>
        <v>2</v>
      </c>
    </row>
    <row r="10" spans="1:10" x14ac:dyDescent="0.2">
      <c r="A10" s="8">
        <f t="shared" ca="1" si="0"/>
        <v>2</v>
      </c>
      <c r="B10" s="8" t="str">
        <f t="shared" ca="1" si="1"/>
        <v>Gareth Lawrence</v>
      </c>
      <c r="C10" s="8">
        <f t="shared" ca="1" si="2"/>
        <v>15</v>
      </c>
      <c r="D10" s="9">
        <f t="shared" ca="1" si="3"/>
        <v>2.6122685185185186E-2</v>
      </c>
      <c r="E10" s="9">
        <f t="shared" ca="1" si="4"/>
        <v>1.5979116190132089E-2</v>
      </c>
      <c r="F10" s="10">
        <f t="shared" ca="1" si="5"/>
        <v>-0.05</v>
      </c>
    </row>
    <row r="11" spans="1:10" x14ac:dyDescent="0.2">
      <c r="A11" s="8">
        <f t="shared" ca="1" si="0"/>
        <v>3</v>
      </c>
      <c r="B11" s="8" t="str">
        <f t="shared" ca="1" si="1"/>
        <v>Neil Price</v>
      </c>
      <c r="C11" s="8">
        <f t="shared" ca="1" si="2"/>
        <v>5</v>
      </c>
      <c r="D11" s="9">
        <f t="shared" ca="1" si="3"/>
        <v>1.4907407407407409E-2</v>
      </c>
      <c r="E11" s="9">
        <f t="shared" ca="1" si="4"/>
        <v>1.504126607426854E-2</v>
      </c>
      <c r="F11" s="10">
        <f t="shared" ca="1" si="5"/>
        <v>8.899428159849284E-3</v>
      </c>
    </row>
    <row r="12" spans="1:10" x14ac:dyDescent="0.2">
      <c r="A12" s="8">
        <f t="shared" ca="1" si="0"/>
        <v>3</v>
      </c>
      <c r="B12" s="8" t="str">
        <f t="shared" ca="1" si="1"/>
        <v>Rhidian Jones</v>
      </c>
      <c r="C12" s="8" t="str">
        <f t="shared" ca="1" si="2"/>
        <v/>
      </c>
      <c r="D12" s="9" t="str">
        <f t="shared" ca="1" si="3"/>
        <v/>
      </c>
      <c r="E12" s="9">
        <f t="shared" ca="1" si="4"/>
        <v>1.5331216023892943E-2</v>
      </c>
      <c r="F12" s="10">
        <f t="shared" ca="1" si="5"/>
        <v>-7.4999999999999997E-2</v>
      </c>
    </row>
    <row r="13" spans="1:10" x14ac:dyDescent="0.2">
      <c r="A13" s="8">
        <f t="shared" ca="1" si="0"/>
        <v>3</v>
      </c>
      <c r="B13" s="8" t="str">
        <f t="shared" ca="1" si="1"/>
        <v>Andy Shanahan</v>
      </c>
      <c r="C13" s="8" t="str">
        <f t="shared" ca="1" si="2"/>
        <v/>
      </c>
      <c r="D13" s="9" t="str">
        <f t="shared" ca="1" si="3"/>
        <v/>
      </c>
      <c r="E13" s="9">
        <f t="shared" ca="1" si="4"/>
        <v>1.6664952584533078E-2</v>
      </c>
      <c r="F13" s="10">
        <f t="shared" ca="1" si="5"/>
        <v>-7.4999999999999997E-2</v>
      </c>
    </row>
    <row r="14" spans="1:10" x14ac:dyDescent="0.2">
      <c r="A14" s="8">
        <f t="shared" ca="1" si="0"/>
        <v>4</v>
      </c>
      <c r="B14" s="8" t="str">
        <f t="shared" ca="1" si="1"/>
        <v>Rachel Price</v>
      </c>
      <c r="C14" s="8">
        <f t="shared" ca="1" si="2"/>
        <v>14</v>
      </c>
      <c r="D14" s="9">
        <f t="shared" ca="1" si="3"/>
        <v>2.5706018518518517E-2</v>
      </c>
      <c r="E14" s="9">
        <f t="shared" ca="1" si="4"/>
        <v>1.5893560030578346E-2</v>
      </c>
      <c r="F14" s="10">
        <f t="shared" ca="1" si="5"/>
        <v>-0.05</v>
      </c>
    </row>
    <row r="15" spans="1:10" x14ac:dyDescent="0.2">
      <c r="A15" s="8">
        <f t="shared" ca="1" si="0"/>
        <v>4</v>
      </c>
      <c r="B15" s="8" t="str">
        <f t="shared" ca="1" si="1"/>
        <v>Emma Jones</v>
      </c>
      <c r="C15" s="8">
        <f t="shared" ca="1" si="2"/>
        <v>7</v>
      </c>
      <c r="D15" s="9">
        <f t="shared" ca="1" si="3"/>
        <v>2.1597222222222223E-2</v>
      </c>
      <c r="E15" s="9">
        <f t="shared" ca="1" si="4"/>
        <v>1.9572085723937566E-2</v>
      </c>
      <c r="F15" s="10">
        <f t="shared" ca="1" si="5"/>
        <v>-0.05</v>
      </c>
    </row>
    <row r="16" spans="1:10" x14ac:dyDescent="0.2">
      <c r="A16" s="8">
        <f t="shared" ca="1" si="0"/>
        <v>4</v>
      </c>
      <c r="B16" s="8" t="str">
        <f t="shared" ca="1" si="1"/>
        <v>Claire Emery</v>
      </c>
      <c r="C16" s="8" t="str">
        <f t="shared" ca="1" si="2"/>
        <v/>
      </c>
      <c r="D16" s="9" t="str">
        <f t="shared" ca="1" si="3"/>
        <v/>
      </c>
      <c r="E16" s="9">
        <f t="shared" ca="1" si="4"/>
        <v>1.9781067418226352E-2</v>
      </c>
      <c r="F16" s="10">
        <f t="shared" ca="1" si="5"/>
        <v>-7.4999999999999997E-2</v>
      </c>
    </row>
    <row r="17" spans="1:6" x14ac:dyDescent="0.2">
      <c r="A17" s="8">
        <f t="shared" ca="1" si="0"/>
        <v>4</v>
      </c>
      <c r="B17" s="8" t="str">
        <f t="shared" ca="1" si="1"/>
        <v>Helen Lawrence</v>
      </c>
      <c r="C17" s="8">
        <f t="shared" ca="1" si="2"/>
        <v>8</v>
      </c>
      <c r="D17" s="9">
        <f t="shared" ca="1" si="3"/>
        <v>2.1770833333333333E-2</v>
      </c>
      <c r="E17" s="9">
        <f t="shared" ca="1" si="4"/>
        <v>1.9918196017211301E-2</v>
      </c>
      <c r="F17" s="10">
        <f t="shared" ca="1" si="5"/>
        <v>-0.05</v>
      </c>
    </row>
    <row r="18" spans="1:6" x14ac:dyDescent="0.2">
      <c r="A18" s="8">
        <f t="shared" ca="1" si="0"/>
        <v>5</v>
      </c>
      <c r="B18" s="8" t="str">
        <f t="shared" ca="1" si="1"/>
        <v>Ebony Vanderras</v>
      </c>
      <c r="C18" s="8" t="str">
        <f t="shared" ca="1" si="2"/>
        <v/>
      </c>
      <c r="D18" s="9" t="str">
        <f t="shared" ca="1" si="3"/>
        <v/>
      </c>
      <c r="E18" s="9">
        <f t="shared" ca="1" si="4"/>
        <v>1.3627025391882219E-2</v>
      </c>
      <c r="F18" s="10">
        <f t="shared" ca="1" si="5"/>
        <v>-7.4999999999999997E-2</v>
      </c>
    </row>
    <row r="19" spans="1:6" x14ac:dyDescent="0.2">
      <c r="A19" s="8">
        <f t="shared" ca="1" si="0"/>
        <v>5</v>
      </c>
      <c r="B19" s="8" t="str">
        <f t="shared" ca="1" si="1"/>
        <v>Jennifer Morris</v>
      </c>
      <c r="C19" s="8" t="str">
        <f t="shared" ca="1" si="2"/>
        <v/>
      </c>
      <c r="D19" s="9" t="str">
        <f t="shared" ca="1" si="3"/>
        <v/>
      </c>
      <c r="E19" s="9">
        <f t="shared" ca="1" si="4"/>
        <v>1.7532773263059475E-2</v>
      </c>
      <c r="F19" s="10">
        <f t="shared" ca="1" si="5"/>
        <v>-7.4999999999999997E-2</v>
      </c>
    </row>
    <row r="20" spans="1:6" x14ac:dyDescent="0.2">
      <c r="A20" s="8">
        <f t="shared" ca="1" si="0"/>
        <v>5</v>
      </c>
      <c r="B20" s="8" t="str">
        <f t="shared" ca="1" si="1"/>
        <v>Keziah Rhoden</v>
      </c>
      <c r="C20" s="8" t="str">
        <f t="shared" ca="1" si="2"/>
        <v/>
      </c>
      <c r="D20" s="9" t="str">
        <f t="shared" ca="1" si="3"/>
        <v/>
      </c>
      <c r="E20" s="9">
        <f t="shared" ca="1" si="4"/>
        <v>1.8371450943528277E-2</v>
      </c>
      <c r="F20" s="10">
        <f t="shared" ca="1" si="5"/>
        <v>-7.4999999999999997E-2</v>
      </c>
    </row>
    <row r="21" spans="1:6" x14ac:dyDescent="0.2">
      <c r="A21" s="8">
        <f t="shared" ca="1" si="0"/>
        <v>5</v>
      </c>
      <c r="B21" s="8" t="str">
        <f t="shared" ca="1" si="1"/>
        <v>Lizz Ryan</v>
      </c>
      <c r="C21" s="8" t="str">
        <f t="shared" ca="1" si="2"/>
        <v/>
      </c>
      <c r="D21" s="9" t="str">
        <f t="shared" ca="1" si="3"/>
        <v/>
      </c>
      <c r="E21" s="9">
        <f t="shared" ca="1" si="4"/>
        <v>2.101413356077712E-2</v>
      </c>
      <c r="F21" s="10">
        <f t="shared" ca="1" si="5"/>
        <v>-7.4999999999999997E-2</v>
      </c>
    </row>
    <row r="22" spans="1:6" x14ac:dyDescent="0.2">
      <c r="A22" s="8">
        <f t="shared" ca="1" si="0"/>
        <v>6</v>
      </c>
      <c r="B22" s="8" t="str">
        <f t="shared" ca="1" si="1"/>
        <v>Sarah Woods</v>
      </c>
      <c r="C22" s="8">
        <f t="shared" ca="1" si="2"/>
        <v>9</v>
      </c>
      <c r="D22" s="9">
        <f t="shared" ca="1" si="3"/>
        <v>2.3356481481481482E-2</v>
      </c>
      <c r="E22" s="9">
        <f t="shared" ca="1" si="4"/>
        <v>1.7121649795203225E-2</v>
      </c>
      <c r="F22" s="10">
        <f t="shared" ca="1" si="5"/>
        <v>-0.05</v>
      </c>
    </row>
    <row r="23" spans="1:6" x14ac:dyDescent="0.2">
      <c r="A23" s="8">
        <f t="shared" ca="1" si="0"/>
        <v>6</v>
      </c>
      <c r="B23" s="8" t="str">
        <f t="shared" ca="1" si="1"/>
        <v>Sarah Felvus</v>
      </c>
      <c r="C23" s="8">
        <f t="shared" ca="1" si="2"/>
        <v>10</v>
      </c>
      <c r="D23" s="9">
        <f t="shared" ca="1" si="3"/>
        <v>2.3680555555555555E-2</v>
      </c>
      <c r="E23" s="9">
        <f t="shared" ca="1" si="4"/>
        <v>1.7304256380333248E-2</v>
      </c>
      <c r="F23" s="10">
        <f t="shared" ca="1" si="5"/>
        <v>-0.05</v>
      </c>
    </row>
    <row r="24" spans="1:6" x14ac:dyDescent="0.2">
      <c r="A24" s="8">
        <f t="shared" ca="1" si="0"/>
        <v>6</v>
      </c>
      <c r="B24" s="8" t="str">
        <f t="shared" ca="1" si="1"/>
        <v>Nia Williams</v>
      </c>
      <c r="C24" s="8" t="str">
        <f t="shared" ca="1" si="2"/>
        <v/>
      </c>
      <c r="D24" s="9" t="str">
        <f t="shared" ca="1" si="3"/>
        <v/>
      </c>
      <c r="E24" s="9">
        <f t="shared" ca="1" si="4"/>
        <v>1.8986482434693915E-2</v>
      </c>
      <c r="F24" s="10">
        <f t="shared" ca="1" si="5"/>
        <v>-7.4999999999999997E-2</v>
      </c>
    </row>
    <row r="25" spans="1:6" x14ac:dyDescent="0.2">
      <c r="A25" s="8">
        <f t="shared" ca="1" si="0"/>
        <v>6</v>
      </c>
      <c r="B25" s="8" t="str">
        <f t="shared" ca="1" si="1"/>
        <v>Janine Payne</v>
      </c>
      <c r="C25" s="8">
        <f t="shared" ca="1" si="2"/>
        <v>11</v>
      </c>
      <c r="D25" s="9">
        <f t="shared" ca="1" si="3"/>
        <v>2.3923611111111111E-2</v>
      </c>
      <c r="E25" s="9">
        <f t="shared" ca="1" si="4"/>
        <v>2.1648119325110834E-2</v>
      </c>
      <c r="F25" s="10">
        <f t="shared" ca="1" si="5"/>
        <v>-0.05</v>
      </c>
    </row>
    <row r="26" spans="1:6" x14ac:dyDescent="0.2">
      <c r="A26" s="8">
        <f t="shared" ca="1" si="0"/>
        <v>6</v>
      </c>
      <c r="B26" s="8" t="str">
        <f t="shared" ca="1" si="1"/>
        <v>Elinor Landeg</v>
      </c>
      <c r="C26" s="8" t="str">
        <f t="shared" ca="1" si="2"/>
        <v/>
      </c>
      <c r="D26" s="9" t="str">
        <f t="shared" ca="1" si="3"/>
        <v/>
      </c>
      <c r="E26" s="9">
        <f t="shared" ca="1" si="4"/>
        <v>2.1689960159846061E-2</v>
      </c>
      <c r="F26" s="10">
        <f t="shared" ca="1" si="5"/>
        <v>-7.4999999999999997E-2</v>
      </c>
    </row>
    <row r="27" spans="1:6" x14ac:dyDescent="0.2">
      <c r="A27" s="8">
        <f t="shared" ca="1" si="0"/>
        <v>7</v>
      </c>
      <c r="B27" s="8" t="str">
        <f t="shared" ca="1" si="1"/>
        <v>Tom Andrews</v>
      </c>
      <c r="C27" s="8">
        <f t="shared" ca="1" si="2"/>
        <v>3</v>
      </c>
      <c r="D27" s="9">
        <f t="shared" ca="1" si="3"/>
        <v>1.380787037037037E-2</v>
      </c>
      <c r="E27" s="9">
        <f t="shared" ca="1" si="4"/>
        <v>1.3614967921481869E-2</v>
      </c>
      <c r="F27" s="10">
        <f t="shared" ca="1" si="5"/>
        <v>-1.4168410091083439E-2</v>
      </c>
    </row>
    <row r="28" spans="1:6" x14ac:dyDescent="0.2">
      <c r="A28" s="8">
        <f t="shared" ca="1" si="0"/>
        <v>7</v>
      </c>
      <c r="B28" s="8" t="str">
        <f t="shared" ca="1" si="1"/>
        <v>Owain Jones</v>
      </c>
      <c r="C28" s="8" t="str">
        <f t="shared" ca="1" si="2"/>
        <v/>
      </c>
      <c r="D28" s="9" t="str">
        <f t="shared" ca="1" si="3"/>
        <v/>
      </c>
      <c r="E28" s="9">
        <f t="shared" ca="1" si="4"/>
        <v>1.3961413485509279E-2</v>
      </c>
      <c r="F28" s="10">
        <f t="shared" ca="1" si="5"/>
        <v>-7.4999999999999997E-2</v>
      </c>
    </row>
    <row r="29" spans="1:6" x14ac:dyDescent="0.2">
      <c r="A29" s="8">
        <f t="shared" ca="1" si="0"/>
        <v>7</v>
      </c>
      <c r="B29" s="8" t="str">
        <f t="shared" ca="1" si="1"/>
        <v>Ady Hayhoe</v>
      </c>
      <c r="C29" s="8" t="str">
        <f t="shared" ca="1" si="2"/>
        <v/>
      </c>
      <c r="D29" s="9" t="str">
        <f t="shared" ca="1" si="3"/>
        <v/>
      </c>
      <c r="E29" s="9">
        <f t="shared" ca="1" si="4"/>
        <v>1.7266661513839855E-2</v>
      </c>
      <c r="F29" s="10">
        <f t="shared" ca="1" si="5"/>
        <v>-7.4999999999999997E-2</v>
      </c>
    </row>
    <row r="30" spans="1:6" x14ac:dyDescent="0.2">
      <c r="A30" s="8">
        <f t="shared" ca="1" si="0"/>
        <v>7</v>
      </c>
      <c r="B30" s="8" t="str">
        <f t="shared" ca="1" si="1"/>
        <v>David Payne</v>
      </c>
      <c r="C30" s="8">
        <f t="shared" ca="1" si="2"/>
        <v>6</v>
      </c>
      <c r="D30" s="9">
        <f t="shared" ca="1" si="3"/>
        <v>1.7476851851851851E-2</v>
      </c>
      <c r="E30" s="9">
        <f t="shared" ca="1" si="4"/>
        <v>1.7255689310914441E-2</v>
      </c>
      <c r="F30" s="10">
        <f t="shared" ca="1" si="5"/>
        <v>-1.2816789694835419E-2</v>
      </c>
    </row>
    <row r="31" spans="1:6" x14ac:dyDescent="0.2">
      <c r="A31" s="8">
        <f t="shared" ca="1" si="0"/>
        <v>7</v>
      </c>
      <c r="B31" s="8" t="str">
        <f t="shared" ca="1" si="1"/>
        <v>Beth Palmer</v>
      </c>
      <c r="C31" s="8">
        <f t="shared" ca="1" si="2"/>
        <v>16</v>
      </c>
      <c r="D31" s="9">
        <f t="shared" ca="1" si="3"/>
        <v>3.6736111111111108E-2</v>
      </c>
      <c r="E31" s="9">
        <f t="shared" ca="1" si="4"/>
        <v>1.8549562362974673E-2</v>
      </c>
      <c r="F31" s="10">
        <f t="shared" ca="1" si="5"/>
        <v>-0.05</v>
      </c>
    </row>
    <row r="32" spans="1:6" x14ac:dyDescent="0.2">
      <c r="A32" s="8" t="str">
        <f t="shared" ca="1" si="0"/>
        <v/>
      </c>
      <c r="B32" s="8" t="str">
        <f t="shared" ca="1" si="1"/>
        <v/>
      </c>
      <c r="C32" s="8" t="str">
        <f t="shared" ca="1" si="2"/>
        <v/>
      </c>
      <c r="D32" s="9" t="str">
        <f t="shared" ca="1" si="3"/>
        <v/>
      </c>
      <c r="E32" s="9" t="str">
        <f t="shared" ca="1" si="4"/>
        <v/>
      </c>
      <c r="F32" s="10" t="str">
        <f t="shared" ca="1" si="5"/>
        <v/>
      </c>
    </row>
    <row r="33" spans="1:6" x14ac:dyDescent="0.2">
      <c r="A33" s="8" t="str">
        <f t="shared" ca="1" si="0"/>
        <v/>
      </c>
      <c r="B33" s="8" t="str">
        <f t="shared" ca="1" si="1"/>
        <v/>
      </c>
      <c r="C33" s="8" t="str">
        <f t="shared" ca="1" si="2"/>
        <v/>
      </c>
      <c r="D33" s="9" t="str">
        <f t="shared" ca="1" si="3"/>
        <v/>
      </c>
      <c r="E33" s="9" t="str">
        <f t="shared" ca="1" si="4"/>
        <v/>
      </c>
      <c r="F33" s="10" t="str">
        <f t="shared" ca="1" si="5"/>
        <v/>
      </c>
    </row>
    <row r="34" spans="1:6" x14ac:dyDescent="0.2">
      <c r="A34" s="8" t="str">
        <f t="shared" ca="1" si="0"/>
        <v/>
      </c>
      <c r="B34" s="8" t="str">
        <f t="shared" ca="1" si="1"/>
        <v/>
      </c>
      <c r="C34" s="8" t="str">
        <f t="shared" ca="1" si="2"/>
        <v/>
      </c>
      <c r="D34" s="9" t="str">
        <f t="shared" ca="1" si="3"/>
        <v/>
      </c>
      <c r="E34" s="9" t="str">
        <f t="shared" ca="1" si="4"/>
        <v/>
      </c>
      <c r="F34" s="10" t="str">
        <f t="shared" ca="1" si="5"/>
        <v/>
      </c>
    </row>
    <row r="35" spans="1:6" x14ac:dyDescent="0.2">
      <c r="A35" s="8" t="str">
        <f t="shared" ca="1" si="0"/>
        <v/>
      </c>
      <c r="B35" s="8" t="str">
        <f t="shared" ca="1" si="1"/>
        <v/>
      </c>
      <c r="C35" s="8" t="str">
        <f t="shared" ca="1" si="2"/>
        <v/>
      </c>
      <c r="D35" s="9" t="str">
        <f t="shared" ca="1" si="3"/>
        <v/>
      </c>
      <c r="E35" s="9" t="str">
        <f t="shared" ca="1" si="4"/>
        <v/>
      </c>
      <c r="F35" s="10" t="str">
        <f t="shared" ca="1" si="5"/>
        <v/>
      </c>
    </row>
    <row r="36" spans="1:6" x14ac:dyDescent="0.2">
      <c r="A36" s="8" t="str">
        <f t="shared" ca="1" si="0"/>
        <v/>
      </c>
      <c r="B36" s="8" t="str">
        <f t="shared" ca="1" si="1"/>
        <v/>
      </c>
      <c r="C36" s="8" t="str">
        <f t="shared" ca="1" si="2"/>
        <v/>
      </c>
      <c r="D36" s="9" t="str">
        <f t="shared" ca="1" si="3"/>
        <v/>
      </c>
      <c r="E36" s="9" t="str">
        <f t="shared" ca="1" si="4"/>
        <v/>
      </c>
      <c r="F36" s="10" t="str">
        <f t="shared" ca="1" si="5"/>
        <v/>
      </c>
    </row>
    <row r="37" spans="1:6" x14ac:dyDescent="0.2">
      <c r="A37" s="8" t="str">
        <f t="shared" ca="1" si="0"/>
        <v/>
      </c>
      <c r="B37" s="8" t="str">
        <f t="shared" ca="1" si="1"/>
        <v/>
      </c>
      <c r="C37" s="8" t="str">
        <f t="shared" ca="1" si="2"/>
        <v/>
      </c>
      <c r="D37" s="9" t="str">
        <f t="shared" ca="1" si="3"/>
        <v/>
      </c>
      <c r="E37" s="9" t="str">
        <f t="shared" ca="1" si="4"/>
        <v/>
      </c>
      <c r="F37" s="10" t="str">
        <f t="shared" ca="1" si="5"/>
        <v/>
      </c>
    </row>
  </sheetData>
  <conditionalFormatting sqref="C3:C37">
    <cfRule type="cellIs" dxfId="21" priority="20" operator="equal">
      <formula>1</formula>
    </cfRule>
    <cfRule type="cellIs" dxfId="20" priority="21" operator="equal">
      <formula>2</formula>
    </cfRule>
    <cfRule type="cellIs" dxfId="19" priority="22" operator="equal">
      <formula>3</formula>
    </cfRule>
  </conditionalFormatting>
  <conditionalFormatting sqref="F3:F37">
    <cfRule type="cellIs" dxfId="18" priority="1" operator="equal">
      <formula>-0.075</formula>
    </cfRule>
    <cfRule type="cellIs" dxfId="17" priority="2" operator="equal">
      <formula>-0.05</formula>
    </cfRule>
    <cfRule type="cellIs" dxfId="16" priority="3" operator="equal">
      <formula>0.05</formula>
    </cfRule>
    <cfRule type="cellIs" dxfId="15" priority="4" operator="equal">
      <formula>0</formula>
    </cfRule>
    <cfRule type="cellIs" dxfId="14" priority="5" operator="between">
      <formula>0.02</formula>
      <formula>0.05</formula>
    </cfRule>
    <cfRule type="cellIs" dxfId="13" priority="6" operator="between">
      <formula>0</formula>
      <formula>0.02</formula>
    </cfRule>
    <cfRule type="cellIs" dxfId="12" priority="7" operator="between">
      <formula>-0.02</formula>
      <formula>0</formula>
    </cfRule>
    <cfRule type="cellIs" dxfId="11" priority="8" operator="between">
      <formula>-0.075</formula>
      <formula>-0.02</formula>
    </cfRule>
  </conditionalFormatting>
  <conditionalFormatting sqref="I3:I9">
    <cfRule type="cellIs" dxfId="10" priority="9" operator="equal">
      <formula>-0.075</formula>
    </cfRule>
    <cfRule type="cellIs" dxfId="9" priority="10" operator="equal">
      <formula>-0.05</formula>
    </cfRule>
    <cfRule type="cellIs" dxfId="8" priority="11" operator="equal">
      <formula>0.05</formula>
    </cfRule>
    <cfRule type="cellIs" dxfId="7" priority="12" operator="equal">
      <formula>0</formula>
    </cfRule>
    <cfRule type="cellIs" dxfId="6" priority="13" operator="between">
      <formula>0.02</formula>
      <formula>0.05</formula>
    </cfRule>
    <cfRule type="cellIs" dxfId="5" priority="14" operator="between">
      <formula>0</formula>
      <formula>0.02</formula>
    </cfRule>
    <cfRule type="cellIs" dxfId="4" priority="15" operator="between">
      <formula>-0.02</formula>
      <formula>0</formula>
    </cfRule>
    <cfRule type="cellIs" dxfId="3" priority="16" operator="between">
      <formula>-0.075</formula>
      <formula>-0.02</formula>
    </cfRule>
  </conditionalFormatting>
  <conditionalFormatting sqref="J3:J9">
    <cfRule type="cellIs" dxfId="2" priority="17" operator="equal">
      <formula>1</formula>
    </cfRule>
    <cfRule type="cellIs" dxfId="1" priority="18" operator="equal">
      <formula>2</formula>
    </cfRule>
    <cfRule type="cellIs" dxfId="0" priority="19" operator="equal">
      <formula>3</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heetViews>
  <sheetFormatPr baseColWidth="10" defaultColWidth="8.83203125" defaultRowHeight="15" x14ac:dyDescent="0.2"/>
  <cols>
    <col min="1" max="1" width="110" customWidth="1"/>
    <col min="2" max="2" width="18" customWidth="1"/>
  </cols>
  <sheetData>
    <row r="1" spans="1:2" x14ac:dyDescent="0.2">
      <c r="A1" s="1" t="s">
        <v>10</v>
      </c>
      <c r="B1" s="1" t="s">
        <v>11</v>
      </c>
    </row>
    <row r="2" spans="1:2" x14ac:dyDescent="0.2">
      <c r="A2" t="s">
        <v>12</v>
      </c>
      <c r="B2" t="s">
        <v>13</v>
      </c>
    </row>
    <row r="3" spans="1:2" x14ac:dyDescent="0.2">
      <c r="A3" t="s">
        <v>14</v>
      </c>
      <c r="B3" t="s">
        <v>15</v>
      </c>
    </row>
    <row r="4" spans="1:2" x14ac:dyDescent="0.2">
      <c r="A4" t="s">
        <v>16</v>
      </c>
      <c r="B4" t="s">
        <v>17</v>
      </c>
    </row>
    <row r="5" spans="1:2" x14ac:dyDescent="0.2">
      <c r="A5" t="s">
        <v>18</v>
      </c>
      <c r="B5" s="2">
        <f>1/3</f>
        <v>0.33333333333333331</v>
      </c>
    </row>
    <row r="6" spans="1:2" x14ac:dyDescent="0.2">
      <c r="A6" t="s">
        <v>19</v>
      </c>
      <c r="B6" s="2">
        <v>0.75</v>
      </c>
    </row>
    <row r="7" spans="1:2" x14ac:dyDescent="0.2">
      <c r="A7" t="s">
        <v>20</v>
      </c>
      <c r="B7" s="3">
        <v>0.05</v>
      </c>
    </row>
    <row r="8" spans="1:2" x14ac:dyDescent="0.2">
      <c r="A8" t="s">
        <v>21</v>
      </c>
      <c r="B8" s="3">
        <v>-0.05</v>
      </c>
    </row>
    <row r="9" spans="1:2" x14ac:dyDescent="0.2">
      <c r="A9" t="s">
        <v>22</v>
      </c>
      <c r="B9" s="3">
        <v>-7.4999999999999997E-2</v>
      </c>
    </row>
    <row r="10" spans="1:2" x14ac:dyDescent="0.2">
      <c r="A10" t="s">
        <v>23</v>
      </c>
      <c r="B10">
        <v>3</v>
      </c>
    </row>
    <row r="11" spans="1:2" x14ac:dyDescent="0.2">
      <c r="A11" t="s">
        <v>24</v>
      </c>
      <c r="B11">
        <v>6</v>
      </c>
    </row>
    <row r="13" spans="1:2" x14ac:dyDescent="0.2">
      <c r="A13" s="1" t="s">
        <v>25</v>
      </c>
    </row>
    <row r="14" spans="1:2" ht="32" x14ac:dyDescent="0.2">
      <c r="A14" s="4" t="s">
        <v>26</v>
      </c>
    </row>
    <row r="15" spans="1:2" ht="16" x14ac:dyDescent="0.2">
      <c r="A15" s="4" t="s">
        <v>27</v>
      </c>
    </row>
    <row r="16" spans="1:2" ht="32" x14ac:dyDescent="0.2">
      <c r="A16" s="4" t="s">
        <v>28</v>
      </c>
    </row>
    <row r="17" spans="1:1" ht="32" x14ac:dyDescent="0.2">
      <c r="A17" s="4" t="s">
        <v>29</v>
      </c>
    </row>
    <row r="18" spans="1:1" ht="16" x14ac:dyDescent="0.2">
      <c r="A18" s="4" t="s">
        <v>30</v>
      </c>
    </row>
    <row r="19" spans="1:1" ht="32" x14ac:dyDescent="0.2">
      <c r="A19" s="4" t="s">
        <v>31</v>
      </c>
    </row>
    <row r="20" spans="1:1" ht="32" x14ac:dyDescent="0.2">
      <c r="A20" s="4" t="s">
        <v>32</v>
      </c>
    </row>
    <row r="21" spans="1:1" ht="32" x14ac:dyDescent="0.2">
      <c r="A21" s="4" t="s">
        <v>33</v>
      </c>
    </row>
    <row r="22" spans="1:1" ht="48" x14ac:dyDescent="0.2">
      <c r="A22" s="4" t="s">
        <v>34</v>
      </c>
    </row>
    <row r="23" spans="1:1" ht="48" x14ac:dyDescent="0.2">
      <c r="A23" s="4" t="s">
        <v>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sheetViews>
  <sheetFormatPr baseColWidth="10" defaultColWidth="8.83203125" defaultRowHeight="15" x14ac:dyDescent="0.2"/>
  <cols>
    <col min="1" max="1" width="18" customWidth="1"/>
    <col min="4" max="4" width="18" customWidth="1"/>
    <col min="5" max="5" width="15" customWidth="1"/>
  </cols>
  <sheetData>
    <row r="1" spans="1:5" x14ac:dyDescent="0.2">
      <c r="A1" s="1" t="s">
        <v>4</v>
      </c>
      <c r="B1" s="1" t="s">
        <v>3</v>
      </c>
      <c r="C1" s="1" t="s">
        <v>36</v>
      </c>
      <c r="D1" s="1" t="s">
        <v>37</v>
      </c>
      <c r="E1" s="1" t="s">
        <v>38</v>
      </c>
    </row>
    <row r="2" spans="1:5" x14ac:dyDescent="0.2">
      <c r="A2" t="s">
        <v>13</v>
      </c>
      <c r="B2">
        <v>1</v>
      </c>
      <c r="C2" s="2">
        <v>1</v>
      </c>
      <c r="D2">
        <v>0</v>
      </c>
      <c r="E2">
        <v>0</v>
      </c>
    </row>
    <row r="3" spans="1:5" x14ac:dyDescent="0.2">
      <c r="A3" t="s">
        <v>39</v>
      </c>
      <c r="B3">
        <v>1</v>
      </c>
      <c r="C3" s="2">
        <v>1.07096794871845</v>
      </c>
      <c r="D3">
        <v>0</v>
      </c>
      <c r="E3">
        <v>0</v>
      </c>
    </row>
    <row r="4" spans="1:5" x14ac:dyDescent="0.2">
      <c r="A4" t="s">
        <v>17</v>
      </c>
      <c r="B4">
        <v>1</v>
      </c>
      <c r="C4" s="2">
        <v>1.169539246984842</v>
      </c>
      <c r="D4">
        <v>0</v>
      </c>
      <c r="E4">
        <v>0</v>
      </c>
    </row>
    <row r="5" spans="1:5" x14ac:dyDescent="0.2">
      <c r="A5" t="s">
        <v>40</v>
      </c>
      <c r="B5">
        <v>1</v>
      </c>
      <c r="C5" s="2">
        <v>1.2849811271253</v>
      </c>
      <c r="D5">
        <v>0</v>
      </c>
      <c r="E5">
        <v>0</v>
      </c>
    </row>
    <row r="6" spans="1:5" x14ac:dyDescent="0.2">
      <c r="A6" t="s">
        <v>41</v>
      </c>
      <c r="B6">
        <v>2</v>
      </c>
      <c r="C6" s="2">
        <v>1.0609519230784299</v>
      </c>
      <c r="D6">
        <v>0</v>
      </c>
      <c r="E6">
        <v>0</v>
      </c>
    </row>
    <row r="7" spans="1:5" x14ac:dyDescent="0.2">
      <c r="A7" t="s">
        <v>15</v>
      </c>
      <c r="B7">
        <v>2</v>
      </c>
      <c r="C7" s="2">
        <v>0.97</v>
      </c>
      <c r="D7">
        <v>0</v>
      </c>
      <c r="E7">
        <v>0</v>
      </c>
    </row>
    <row r="8" spans="1:5" x14ac:dyDescent="0.2">
      <c r="A8" t="s">
        <v>42</v>
      </c>
      <c r="B8">
        <v>2</v>
      </c>
      <c r="C8" s="2">
        <v>1.1399999999999999</v>
      </c>
      <c r="D8">
        <v>0</v>
      </c>
      <c r="E8">
        <v>0</v>
      </c>
    </row>
    <row r="9" spans="1:5" x14ac:dyDescent="0.2">
      <c r="A9" t="s">
        <v>43</v>
      </c>
      <c r="B9">
        <v>2</v>
      </c>
      <c r="C9" s="2">
        <v>1.281996209306931</v>
      </c>
      <c r="D9">
        <v>0</v>
      </c>
      <c r="E9">
        <v>0</v>
      </c>
    </row>
    <row r="10" spans="1:5" x14ac:dyDescent="0.2">
      <c r="A10" t="s">
        <v>44</v>
      </c>
      <c r="B10">
        <v>3</v>
      </c>
      <c r="C10" s="2">
        <v>1.1409076979603601</v>
      </c>
      <c r="D10">
        <v>0</v>
      </c>
      <c r="E10">
        <v>0</v>
      </c>
    </row>
    <row r="11" spans="1:5" x14ac:dyDescent="0.2">
      <c r="A11" t="s">
        <v>45</v>
      </c>
      <c r="B11">
        <v>3</v>
      </c>
      <c r="C11" s="2">
        <v>1.215863391697251</v>
      </c>
      <c r="D11">
        <v>0</v>
      </c>
      <c r="E11">
        <v>0</v>
      </c>
    </row>
    <row r="12" spans="1:5" x14ac:dyDescent="0.2">
      <c r="A12" t="s">
        <v>46</v>
      </c>
      <c r="B12">
        <v>3</v>
      </c>
      <c r="C12" s="2">
        <v>1.344827586206897</v>
      </c>
      <c r="D12">
        <v>0</v>
      </c>
      <c r="E12">
        <v>0</v>
      </c>
    </row>
    <row r="13" spans="1:5" x14ac:dyDescent="0.2">
      <c r="A13" t="s">
        <v>47</v>
      </c>
      <c r="B13">
        <v>4</v>
      </c>
      <c r="C13" s="2">
        <v>1.2401121794891701</v>
      </c>
      <c r="D13">
        <v>0</v>
      </c>
      <c r="E13">
        <v>0</v>
      </c>
    </row>
    <row r="14" spans="1:5" x14ac:dyDescent="0.2">
      <c r="A14" t="s">
        <v>48</v>
      </c>
      <c r="B14">
        <v>4</v>
      </c>
      <c r="C14" s="2">
        <v>1.6105307550903001</v>
      </c>
      <c r="D14">
        <v>0</v>
      </c>
      <c r="E14">
        <v>0</v>
      </c>
    </row>
    <row r="15" spans="1:5" x14ac:dyDescent="0.2">
      <c r="A15" t="s">
        <v>49</v>
      </c>
      <c r="B15">
        <v>4</v>
      </c>
      <c r="C15" s="2">
        <v>1.6175320512817979</v>
      </c>
      <c r="D15">
        <v>0</v>
      </c>
      <c r="E15">
        <v>0</v>
      </c>
    </row>
    <row r="16" spans="1:5" x14ac:dyDescent="0.2">
      <c r="A16" t="s">
        <v>50</v>
      </c>
      <c r="B16">
        <v>4</v>
      </c>
      <c r="C16" s="2">
        <v>1.651067955887175</v>
      </c>
      <c r="D16">
        <v>0</v>
      </c>
      <c r="E16">
        <v>0</v>
      </c>
    </row>
    <row r="17" spans="1:5" x14ac:dyDescent="0.2">
      <c r="A17" t="s">
        <v>51</v>
      </c>
      <c r="B17">
        <v>5</v>
      </c>
      <c r="C17" s="2">
        <v>1.1144551282056829</v>
      </c>
      <c r="D17">
        <v>0</v>
      </c>
      <c r="E17">
        <v>0</v>
      </c>
    </row>
    <row r="18" spans="1:5" x14ac:dyDescent="0.2">
      <c r="A18" t="s">
        <v>52</v>
      </c>
      <c r="B18">
        <v>5</v>
      </c>
      <c r="C18" s="2">
        <v>1.3723935746197471</v>
      </c>
      <c r="D18">
        <v>0</v>
      </c>
      <c r="E18">
        <v>0</v>
      </c>
    </row>
    <row r="19" spans="1:5" x14ac:dyDescent="0.2">
      <c r="A19" t="s">
        <v>53</v>
      </c>
      <c r="B19">
        <v>5</v>
      </c>
      <c r="C19" s="2">
        <v>1.450907051282061</v>
      </c>
      <c r="D19">
        <v>0</v>
      </c>
      <c r="E19">
        <v>0</v>
      </c>
    </row>
    <row r="20" spans="1:5" x14ac:dyDescent="0.2">
      <c r="A20" t="s">
        <v>54</v>
      </c>
      <c r="B20">
        <v>5</v>
      </c>
      <c r="C20" s="2">
        <v>1.5687339743480999</v>
      </c>
      <c r="D20">
        <v>0</v>
      </c>
      <c r="E20">
        <v>0</v>
      </c>
    </row>
    <row r="21" spans="1:5" x14ac:dyDescent="0.2">
      <c r="A21" t="s">
        <v>55</v>
      </c>
      <c r="B21">
        <v>6</v>
      </c>
      <c r="C21" s="2">
        <v>1.3888581353535101</v>
      </c>
      <c r="D21">
        <v>0</v>
      </c>
      <c r="E21">
        <v>0</v>
      </c>
    </row>
    <row r="22" spans="1:5" x14ac:dyDescent="0.2">
      <c r="A22" t="s">
        <v>56</v>
      </c>
      <c r="B22">
        <v>6</v>
      </c>
      <c r="C22" s="2">
        <v>1.3814596499606211</v>
      </c>
      <c r="D22">
        <v>0</v>
      </c>
      <c r="E22">
        <v>0</v>
      </c>
    </row>
    <row r="23" spans="1:5" x14ac:dyDescent="0.2">
      <c r="A23" t="s">
        <v>57</v>
      </c>
      <c r="B23">
        <v>6</v>
      </c>
      <c r="C23" s="2">
        <v>1.58583491740071</v>
      </c>
      <c r="D23">
        <v>0</v>
      </c>
      <c r="E23">
        <v>0</v>
      </c>
    </row>
    <row r="24" spans="1:5" x14ac:dyDescent="0.2">
      <c r="A24" t="s">
        <v>58</v>
      </c>
      <c r="B24">
        <v>6</v>
      </c>
      <c r="C24" s="2">
        <v>1.718525641024788</v>
      </c>
      <c r="D24">
        <v>0</v>
      </c>
      <c r="E24">
        <v>0</v>
      </c>
    </row>
    <row r="25" spans="1:5" x14ac:dyDescent="0.2">
      <c r="A25" t="s">
        <v>59</v>
      </c>
      <c r="B25">
        <v>6</v>
      </c>
      <c r="C25" s="2">
        <v>1.7721474358972209</v>
      </c>
      <c r="D25">
        <v>0</v>
      </c>
      <c r="E25">
        <v>0</v>
      </c>
    </row>
    <row r="26" spans="1:5" x14ac:dyDescent="0.2">
      <c r="A26" t="s">
        <v>60</v>
      </c>
      <c r="B26">
        <v>7</v>
      </c>
      <c r="C26" s="2">
        <v>1.0706250000014399</v>
      </c>
      <c r="D26">
        <v>0</v>
      </c>
      <c r="E26">
        <v>0</v>
      </c>
    </row>
    <row r="27" spans="1:5" x14ac:dyDescent="0.2">
      <c r="A27" t="s">
        <v>61</v>
      </c>
      <c r="B27">
        <v>7</v>
      </c>
      <c r="C27" s="2">
        <v>1.1233910256422901</v>
      </c>
      <c r="D27">
        <v>0</v>
      </c>
      <c r="E27">
        <v>0</v>
      </c>
    </row>
    <row r="28" spans="1:5" x14ac:dyDescent="0.2">
      <c r="A28" t="s">
        <v>62</v>
      </c>
      <c r="B28">
        <v>7</v>
      </c>
      <c r="C28" s="2">
        <v>1.3968750000003129</v>
      </c>
      <c r="D28">
        <v>0</v>
      </c>
      <c r="E28">
        <v>0</v>
      </c>
    </row>
    <row r="29" spans="1:5" x14ac:dyDescent="0.2">
      <c r="A29" t="s">
        <v>63</v>
      </c>
      <c r="B29">
        <v>7</v>
      </c>
      <c r="C29" s="2">
        <v>1.395810897435916</v>
      </c>
      <c r="D29">
        <v>0</v>
      </c>
      <c r="E29">
        <v>0</v>
      </c>
    </row>
    <row r="30" spans="1:5" x14ac:dyDescent="0.2">
      <c r="A30" t="s">
        <v>64</v>
      </c>
      <c r="B30">
        <v>7</v>
      </c>
      <c r="C30" s="2">
        <v>1.4442628205113901</v>
      </c>
      <c r="D30">
        <v>0</v>
      </c>
      <c r="E30">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6"/>
  <sheetViews>
    <sheetView workbookViewId="0"/>
  </sheetViews>
  <sheetFormatPr baseColWidth="10" defaultColWidth="8.83203125" defaultRowHeight="15" x14ac:dyDescent="0.2"/>
  <cols>
    <col min="2" max="2" width="18" customWidth="1"/>
    <col min="3" max="4" width="11" customWidth="1"/>
    <col min="5" max="6" width="13" customWidth="1"/>
    <col min="7" max="11" width="11" customWidth="1"/>
    <col min="12" max="13" width="13" customWidth="1"/>
    <col min="15" max="15" width="28" customWidth="1"/>
    <col min="16" max="16" width="11" customWidth="1"/>
    <col min="19" max="19" width="11" customWidth="1"/>
  </cols>
  <sheetData>
    <row r="1" spans="1:20" x14ac:dyDescent="0.2">
      <c r="A1" s="1" t="s">
        <v>3</v>
      </c>
      <c r="B1" s="1" t="s">
        <v>4</v>
      </c>
      <c r="C1" s="1" t="s">
        <v>65</v>
      </c>
      <c r="D1" s="1" t="s">
        <v>66</v>
      </c>
      <c r="E1" s="1" t="s">
        <v>67</v>
      </c>
      <c r="F1" s="1" t="s">
        <v>68</v>
      </c>
      <c r="G1" s="1" t="s">
        <v>7</v>
      </c>
      <c r="H1" s="1" t="s">
        <v>8</v>
      </c>
      <c r="I1" s="1" t="s">
        <v>69</v>
      </c>
      <c r="J1" s="1" t="s">
        <v>70</v>
      </c>
      <c r="K1" s="1" t="s">
        <v>71</v>
      </c>
      <c r="L1" s="1" t="s">
        <v>72</v>
      </c>
      <c r="M1" s="1" t="s">
        <v>73</v>
      </c>
      <c r="O1" s="1" t="s">
        <v>74</v>
      </c>
      <c r="R1" s="1" t="s">
        <v>3</v>
      </c>
      <c r="S1" s="1" t="s">
        <v>9</v>
      </c>
      <c r="T1" s="1" t="s">
        <v>5</v>
      </c>
    </row>
    <row r="2" spans="1:20" x14ac:dyDescent="0.2">
      <c r="A2">
        <v>1</v>
      </c>
      <c r="B2" t="s">
        <v>13</v>
      </c>
      <c r="C2" s="5">
        <v>9.6296296296296303E-3</v>
      </c>
      <c r="D2" s="2">
        <f>IF($B2="","",IFERROR(VLOOKUP($B2,Roster!$A$2:$C$200,3,FALSE),IF($C2="","",$C2/$P$5)))</f>
        <v>1</v>
      </c>
      <c r="E2">
        <f>IF($B2="","",IFERROR(VLOOKUP($B2,Roster!$A$2:$D$200,4,FALSE),Control!$B$10))</f>
        <v>0</v>
      </c>
      <c r="F2">
        <f>IF($B2="","",IFERROR(VLOOKUP($B2,Roster!$A$2:$E$200,5,FALSE),0))</f>
        <v>0</v>
      </c>
      <c r="G2" s="5">
        <f t="shared" ref="G2:G36" si="0">IF($D2="","",$D2*$P$5)</f>
        <v>9.6389652396968745E-3</v>
      </c>
      <c r="H2" s="3">
        <f>IF($D2="","",IF($C2="",Control!$B$9,MAX(MIN(($G2-$C2)/$G2,Control!$B$7),Control!$B$8)))</f>
        <v>9.6852824292763772E-4</v>
      </c>
      <c r="I2" s="2">
        <f t="shared" ref="I2:I36" si="1">IF($D2="","",IF($C2="",$D2,$C2/$P$5))</f>
        <v>0.99903147175707241</v>
      </c>
      <c r="J2" s="2">
        <f>IF($D2="","",IF($E2&gt;0,Control!$B$6,Control!$B$5))</f>
        <v>0.33333333333333331</v>
      </c>
      <c r="K2" s="2">
        <f t="shared" ref="K2:K36" si="2">IF($D2="","",$D2-$J2*($D2-$I2))</f>
        <v>0.99967715725235751</v>
      </c>
      <c r="L2">
        <f>IF($B2="","",IF($C2="",IF($M2&gt;=Control!$B$11,Control!$B$10,$E2),MAX($E2-1,0)))</f>
        <v>0</v>
      </c>
      <c r="M2">
        <f t="shared" ref="M2:M36" si="3">IF($B2="","",IF($C2="",$F2+1,0))</f>
        <v>0</v>
      </c>
      <c r="O2" t="str">
        <f>Control!$B$2</f>
        <v>Ben Wernick</v>
      </c>
      <c r="P2" s="5">
        <f>IFERROR(IF(VLOOKUP($O2,$B$2:$C$36,2,FALSE)=0,"",VLOOKUP($O2,$B$2:$C$36,2,FALSE)/VLOOKUP($O2,$B$2:$D$36,3,FALSE)),"")</f>
        <v>9.6296296296296303E-3</v>
      </c>
      <c r="R2">
        <v>1</v>
      </c>
      <c r="S2" s="3">
        <f t="shared" ref="S2:S8" si="4">AVERAGEIF($A$2:$A$36,$R2,$H$2:$H$36)</f>
        <v>7.0708531178657634E-3</v>
      </c>
      <c r="T2">
        <f t="shared" ref="T2:T8" si="5">RANK($S2,$S$2:$S$8)</f>
        <v>1</v>
      </c>
    </row>
    <row r="3" spans="1:20" x14ac:dyDescent="0.2">
      <c r="A3">
        <v>1</v>
      </c>
      <c r="B3" t="s">
        <v>39</v>
      </c>
      <c r="C3" s="5">
        <v>1.0254629629629629E-2</v>
      </c>
      <c r="D3" s="2">
        <f>IF($B3="","",IFERROR(VLOOKUP($B3,Roster!$A$2:$C$200,3,FALSE),IF($C3="","",$C3/$P$5)))</f>
        <v>1.07096794871845</v>
      </c>
      <c r="E3">
        <f>IF($B3="","",IFERROR(VLOOKUP($B3,Roster!$A$2:$D$200,4,FALSE),Control!$B$10))</f>
        <v>0</v>
      </c>
      <c r="F3">
        <f>IF($B3="","",IFERROR(VLOOKUP($B3,Roster!$A$2:$E$200,5,FALSE),0))</f>
        <v>0</v>
      </c>
      <c r="G3" s="5">
        <f t="shared" si="0"/>
        <v>1.0323022830526605E-2</v>
      </c>
      <c r="H3" s="3">
        <f>IF($D3="","",IF($C3="",Control!$B$9,MAX(MIN(($G3-$C3)/$G3,Control!$B$7),Control!$B$8)))</f>
        <v>6.6253075305353305E-3</v>
      </c>
      <c r="I3" s="2">
        <f t="shared" si="1"/>
        <v>1.0638724567028437</v>
      </c>
      <c r="J3" s="2">
        <f>IF($D3="","",IF($E3&gt;0,Control!$B$6,Control!$B$5))</f>
        <v>0.33333333333333331</v>
      </c>
      <c r="K3" s="2">
        <f t="shared" si="2"/>
        <v>1.068602784713248</v>
      </c>
      <c r="L3">
        <f>IF($B3="","",IF($C3="",IF($M3&gt;=Control!$B$11,Control!$B$10,$E3),MAX($E3-1,0)))</f>
        <v>0</v>
      </c>
      <c r="M3">
        <f t="shared" si="3"/>
        <v>0</v>
      </c>
      <c r="O3" t="str">
        <f>Control!$B$3</f>
        <v>Mark Emery</v>
      </c>
      <c r="P3" s="5">
        <f>IFERROR(IF(VLOOKUP($O3,$B$2:$C$36,2,FALSE)=0,"",VLOOKUP($O3,$B$2:$C$36,2,FALSE)/VLOOKUP($O3,$B$2:$D$36,3,FALSE)),"")</f>
        <v>1.0333142420771289E-2</v>
      </c>
      <c r="R3">
        <v>2</v>
      </c>
      <c r="S3" s="3">
        <f t="shared" si="4"/>
        <v>3.9469496254889679E-3</v>
      </c>
      <c r="T3">
        <f t="shared" si="5"/>
        <v>3</v>
      </c>
    </row>
    <row r="4" spans="1:20" x14ac:dyDescent="0.2">
      <c r="A4">
        <v>1</v>
      </c>
      <c r="B4" t="s">
        <v>17</v>
      </c>
      <c r="C4" s="5">
        <v>1.127314814814815E-2</v>
      </c>
      <c r="D4" s="2">
        <f>IF($B4="","",IFERROR(VLOOKUP($B4,Roster!$A$2:$C$200,3,FALSE),IF($C4="","",$C4/$P$5)))</f>
        <v>1.169539246984842</v>
      </c>
      <c r="E4">
        <f>IF($B4="","",IFERROR(VLOOKUP($B4,Roster!$A$2:$D$200,4,FALSE),Control!$B$10))</f>
        <v>0</v>
      </c>
      <c r="F4">
        <f>IF($B4="","",IFERROR(VLOOKUP($B4,Roster!$A$2:$E$200,5,FALSE),0))</f>
        <v>0</v>
      </c>
      <c r="G4" s="5">
        <f t="shared" si="0"/>
        <v>1.127314814814815E-2</v>
      </c>
      <c r="H4" s="3">
        <f>IF($D4="","",IF($C4="",Control!$B$9,MAX(MIN(($G4-$C4)/$G4,Control!$B$7),Control!$B$8)))</f>
        <v>0</v>
      </c>
      <c r="I4" s="2">
        <f t="shared" si="1"/>
        <v>1.169539246984842</v>
      </c>
      <c r="J4" s="2">
        <f>IF($D4="","",IF($E4&gt;0,Control!$B$6,Control!$B$5))</f>
        <v>0.33333333333333331</v>
      </c>
      <c r="K4" s="2">
        <f t="shared" si="2"/>
        <v>1.169539246984842</v>
      </c>
      <c r="L4">
        <f>IF($B4="","",IF($C4="",IF($M4&gt;=Control!$B$11,Control!$B$10,$E4),MAX($E4-1,0)))</f>
        <v>0</v>
      </c>
      <c r="M4">
        <f t="shared" si="3"/>
        <v>0</v>
      </c>
      <c r="O4" t="str">
        <f>Control!$B$4</f>
        <v>Anne Marie Moon</v>
      </c>
      <c r="P4" s="5">
        <f>IFERROR(IF(VLOOKUP($O4,$B$2:$C$36,2,FALSE)=0,"",VLOOKUP($O4,$B$2:$C$36,2,FALSE)/VLOOKUP($O4,$B$2:$D$36,3,FALSE)),"")</f>
        <v>9.6389652396968745E-3</v>
      </c>
      <c r="R4">
        <v>3</v>
      </c>
      <c r="S4" s="3">
        <f t="shared" si="4"/>
        <v>-3.7225012005335282E-3</v>
      </c>
      <c r="T4">
        <f t="shared" si="5"/>
        <v>6</v>
      </c>
    </row>
    <row r="5" spans="1:20" x14ac:dyDescent="0.2">
      <c r="A5">
        <v>1</v>
      </c>
      <c r="B5" t="s">
        <v>40</v>
      </c>
      <c r="C5" s="5">
        <v>1.2129629629629631E-2</v>
      </c>
      <c r="D5" s="2">
        <f>IF($B5="","",IFERROR(VLOOKUP($B5,Roster!$A$2:$C$200,3,FALSE),IF($C5="","",$C5/$P$5)))</f>
        <v>1.2849811271253</v>
      </c>
      <c r="E5">
        <f>IF($B5="","",IFERROR(VLOOKUP($B5,Roster!$A$2:$D$200,4,FALSE),Control!$B$10))</f>
        <v>0</v>
      </c>
      <c r="F5">
        <f>IF($B5="","",IFERROR(VLOOKUP($B5,Roster!$A$2:$E$200,5,FALSE),0))</f>
        <v>0</v>
      </c>
      <c r="G5" s="5">
        <f t="shared" si="0"/>
        <v>1.2385888418027277E-2</v>
      </c>
      <c r="H5" s="3">
        <f>IF($D5="","",IF($C5="",Control!$B$9,MAX(MIN(($G5-$C5)/$G5,Control!$B$7),Control!$B$8)))</f>
        <v>2.0689576698000086E-2</v>
      </c>
      <c r="I5" s="2">
        <f t="shared" si="1"/>
        <v>1.2583954115401585</v>
      </c>
      <c r="J5" s="2">
        <f>IF($D5="","",IF($E5&gt;0,Control!$B$6,Control!$B$5))</f>
        <v>0.33333333333333331</v>
      </c>
      <c r="K5" s="2">
        <f t="shared" si="2"/>
        <v>1.2761192219302528</v>
      </c>
      <c r="L5">
        <f>IF($B5="","",IF($C5="",IF($M5&gt;=Control!$B$11,Control!$B$10,$E5),MAX($E5-1,0)))</f>
        <v>0</v>
      </c>
      <c r="M5">
        <f t="shared" si="3"/>
        <v>0</v>
      </c>
      <c r="O5" s="1" t="s">
        <v>75</v>
      </c>
      <c r="P5" s="5">
        <f>MEDIAN(P2:P4)</f>
        <v>9.6389652396968745E-3</v>
      </c>
      <c r="R5">
        <v>4</v>
      </c>
      <c r="S5" s="3">
        <f t="shared" si="4"/>
        <v>4.0921769278879604E-3</v>
      </c>
      <c r="T5">
        <f t="shared" si="5"/>
        <v>2</v>
      </c>
    </row>
    <row r="6" spans="1:20" x14ac:dyDescent="0.2">
      <c r="A6">
        <v>2</v>
      </c>
      <c r="B6" t="s">
        <v>41</v>
      </c>
      <c r="C6" s="5">
        <v>9.9652777777777778E-3</v>
      </c>
      <c r="D6" s="2">
        <f>IF($B6="","",IFERROR(VLOOKUP($B6,Roster!$A$2:$C$200,3,FALSE),IF($C6="","",$C6/$P$5)))</f>
        <v>1.0609519230784299</v>
      </c>
      <c r="E6">
        <f>IF($B6="","",IFERROR(VLOOKUP($B6,Roster!$A$2:$D$200,4,FALSE),Control!$B$10))</f>
        <v>0</v>
      </c>
      <c r="F6">
        <f>IF($B6="","",IFERROR(VLOOKUP($B6,Roster!$A$2:$E$200,5,FALSE),0))</f>
        <v>0</v>
      </c>
      <c r="G6" s="5">
        <f t="shared" si="0"/>
        <v>1.0226478707542537E-2</v>
      </c>
      <c r="H6" s="3">
        <f>IF($D6="","",IF($C6="",Control!$B$9,MAX(MIN(($G6-$C6)/$G6,Control!$B$7),Control!$B$8)))</f>
        <v>2.5541629453754291E-2</v>
      </c>
      <c r="I6" s="2">
        <f t="shared" si="1"/>
        <v>1.0338534821909124</v>
      </c>
      <c r="J6" s="2">
        <f>IF($D6="","",IF($E6&gt;0,Control!$B$6,Control!$B$5))</f>
        <v>0.33333333333333331</v>
      </c>
      <c r="K6" s="2">
        <f t="shared" si="2"/>
        <v>1.0519191094492575</v>
      </c>
      <c r="L6">
        <f>IF($B6="","",IF($C6="",IF($M6&gt;=Control!$B$11,Control!$B$10,$E6),MAX($E6-1,0)))</f>
        <v>0</v>
      </c>
      <c r="M6">
        <f t="shared" si="3"/>
        <v>0</v>
      </c>
      <c r="R6">
        <v>5</v>
      </c>
      <c r="S6" s="3">
        <f t="shared" si="4"/>
        <v>-1.0386846753099513E-2</v>
      </c>
      <c r="T6">
        <f t="shared" si="5"/>
        <v>7</v>
      </c>
    </row>
    <row r="7" spans="1:20" x14ac:dyDescent="0.2">
      <c r="A7">
        <v>2</v>
      </c>
      <c r="B7" t="s">
        <v>15</v>
      </c>
      <c r="C7" s="5">
        <v>1.0023148148148151E-2</v>
      </c>
      <c r="D7" s="2">
        <f>IF($B7="","",IFERROR(VLOOKUP($B7,Roster!$A$2:$C$200,3,FALSE),IF($C7="","",$C7/$P$5)))</f>
        <v>0.97</v>
      </c>
      <c r="E7">
        <f>IF($B7="","",IFERROR(VLOOKUP($B7,Roster!$A$2:$D$200,4,FALSE),Control!$B$10))</f>
        <v>0</v>
      </c>
      <c r="F7">
        <f>IF($B7="","",IFERROR(VLOOKUP($B7,Roster!$A$2:$E$200,5,FALSE),0))</f>
        <v>0</v>
      </c>
      <c r="G7" s="5">
        <f t="shared" si="0"/>
        <v>9.3497962825059688E-3</v>
      </c>
      <c r="H7" s="3">
        <f>IF($D7="","",IF($C7="",Control!$B$9,MAX(MIN(($G7-$C7)/$G7,Control!$B$7),Control!$B$8)))</f>
        <v>-0.05</v>
      </c>
      <c r="I7" s="2">
        <f t="shared" si="1"/>
        <v>1.039857277093299</v>
      </c>
      <c r="J7" s="2">
        <f>IF($D7="","",IF($E7&gt;0,Control!$B$6,Control!$B$5))</f>
        <v>0.33333333333333331</v>
      </c>
      <c r="K7" s="2">
        <f t="shared" si="2"/>
        <v>0.99328575903109961</v>
      </c>
      <c r="L7">
        <f>IF($B7="","",IF($C7="",IF($M7&gt;=Control!$B$11,Control!$B$10,$E7),MAX($E7-1,0)))</f>
        <v>0</v>
      </c>
      <c r="M7">
        <f t="shared" si="3"/>
        <v>0</v>
      </c>
      <c r="R7">
        <v>6</v>
      </c>
      <c r="S7" s="3">
        <f t="shared" si="4"/>
        <v>3.2736642585245333E-3</v>
      </c>
      <c r="T7">
        <f t="shared" si="5"/>
        <v>4</v>
      </c>
    </row>
    <row r="8" spans="1:20" x14ac:dyDescent="0.2">
      <c r="A8">
        <v>2</v>
      </c>
      <c r="B8" t="s">
        <v>42</v>
      </c>
      <c r="C8" s="5">
        <v>1.0717592592592589E-2</v>
      </c>
      <c r="D8" s="2">
        <f>IF($B8="","",IFERROR(VLOOKUP($B8,Roster!$A$2:$C$200,3,FALSE),IF($C8="","",$C8/$P$5)))</f>
        <v>1.1399999999999999</v>
      </c>
      <c r="E8">
        <f>IF($B8="","",IFERROR(VLOOKUP($B8,Roster!$A$2:$D$200,4,FALSE),Control!$B$10))</f>
        <v>0</v>
      </c>
      <c r="F8">
        <f>IF($B8="","",IFERROR(VLOOKUP($B8,Roster!$A$2:$E$200,5,FALSE),0))</f>
        <v>0</v>
      </c>
      <c r="G8" s="5">
        <f t="shared" si="0"/>
        <v>1.0988420373254437E-2</v>
      </c>
      <c r="H8" s="3">
        <f>IF($D8="","",IF($C8="",Control!$B$9,MAX(MIN(($G8-$C8)/$G8,Control!$B$7),Control!$B$8)))</f>
        <v>2.4646652700058308E-2</v>
      </c>
      <c r="I8" s="2">
        <f t="shared" si="1"/>
        <v>1.1119028159219335</v>
      </c>
      <c r="J8" s="2">
        <f>IF($D8="","",IF($E8&gt;0,Control!$B$6,Control!$B$5))</f>
        <v>0.33333333333333331</v>
      </c>
      <c r="K8" s="2">
        <f t="shared" si="2"/>
        <v>1.1306342719739777</v>
      </c>
      <c r="L8">
        <f>IF($B8="","",IF($C8="",IF($M8&gt;=Control!$B$11,Control!$B$10,$E8),MAX($E8-1,0)))</f>
        <v>0</v>
      </c>
      <c r="M8">
        <f t="shared" si="3"/>
        <v>0</v>
      </c>
      <c r="R8">
        <v>7</v>
      </c>
      <c r="S8" s="3">
        <f t="shared" si="4"/>
        <v>2.3424112538918381E-3</v>
      </c>
      <c r="T8">
        <f t="shared" si="5"/>
        <v>5</v>
      </c>
    </row>
    <row r="9" spans="1:20" x14ac:dyDescent="0.2">
      <c r="A9">
        <v>2</v>
      </c>
      <c r="B9" t="s">
        <v>43</v>
      </c>
      <c r="C9" s="5">
        <v>1.216435185185185E-2</v>
      </c>
      <c r="D9" s="2">
        <f>IF($B9="","",IFERROR(VLOOKUP($B9,Roster!$A$2:$C$200,3,FALSE),IF($C9="","",$C9/$P$5)))</f>
        <v>1.281996209306931</v>
      </c>
      <c r="E9">
        <f>IF($B9="","",IFERROR(VLOOKUP($B9,Roster!$A$2:$D$200,4,FALSE),Control!$B$10))</f>
        <v>0</v>
      </c>
      <c r="F9">
        <f>IF($B9="","",IFERROR(VLOOKUP($B9,Roster!$A$2:$E$200,5,FALSE),0))</f>
        <v>0</v>
      </c>
      <c r="G9" s="5">
        <f t="shared" si="0"/>
        <v>1.2357116898932667E-2</v>
      </c>
      <c r="H9" s="3">
        <f>IF($D9="","",IF($C9="",Control!$B$9,MAX(MIN(($G9-$C9)/$G9,Control!$B$7),Control!$B$8)))</f>
        <v>1.5599516348143274E-2</v>
      </c>
      <c r="I9" s="2">
        <f t="shared" si="1"/>
        <v>1.26199768848159</v>
      </c>
      <c r="J9" s="2">
        <f>IF($D9="","",IF($E9&gt;0,Control!$B$6,Control!$B$5))</f>
        <v>0.33333333333333331</v>
      </c>
      <c r="K9" s="2">
        <f t="shared" si="2"/>
        <v>1.275330035698484</v>
      </c>
      <c r="L9">
        <f>IF($B9="","",IF($C9="",IF($M9&gt;=Control!$B$11,Control!$B$10,$E9),MAX($E9-1,0)))</f>
        <v>0</v>
      </c>
      <c r="M9">
        <f t="shared" si="3"/>
        <v>0</v>
      </c>
    </row>
    <row r="10" spans="1:20" x14ac:dyDescent="0.2">
      <c r="A10">
        <v>3</v>
      </c>
      <c r="B10" t="s">
        <v>44</v>
      </c>
      <c r="C10" s="5">
        <v>1.0486111111111109E-2</v>
      </c>
      <c r="D10" s="2">
        <f>IF($B10="","",IFERROR(VLOOKUP($B10,Roster!$A$2:$C$200,3,FALSE),IF($C10="","",$C10/$P$5)))</f>
        <v>1.1409076979603601</v>
      </c>
      <c r="E10">
        <f>IF($B10="","",IFERROR(VLOOKUP($B10,Roster!$A$2:$D$200,4,FALSE),Control!$B$10))</f>
        <v>0</v>
      </c>
      <c r="F10">
        <f>IF($B10="","",IFERROR(VLOOKUP($B10,Roster!$A$2:$E$200,5,FALSE),0))</f>
        <v>0</v>
      </c>
      <c r="G10" s="5">
        <f t="shared" si="0"/>
        <v>1.0997169642342491E-2</v>
      </c>
      <c r="H10" s="3">
        <f>IF($D10="","",IF($C10="",Control!$B$9,MAX(MIN(($G10-$C10)/$G10,Control!$B$7),Control!$B$8)))</f>
        <v>4.6471823919460968E-2</v>
      </c>
      <c r="I10" s="2">
        <f t="shared" si="1"/>
        <v>1.0878876363123886</v>
      </c>
      <c r="J10" s="2">
        <f>IF($D10="","",IF($E10&gt;0,Control!$B$6,Control!$B$5))</f>
        <v>0.33333333333333331</v>
      </c>
      <c r="K10" s="2">
        <f t="shared" si="2"/>
        <v>1.1232343440777028</v>
      </c>
      <c r="L10">
        <f>IF($B10="","",IF($C10="",IF($M10&gt;=Control!$B$11,Control!$B$10,$E10),MAX($E10-1,0)))</f>
        <v>0</v>
      </c>
      <c r="M10">
        <f t="shared" si="3"/>
        <v>0</v>
      </c>
    </row>
    <row r="11" spans="1:20" x14ac:dyDescent="0.2">
      <c r="A11">
        <v>3</v>
      </c>
      <c r="B11" t="s">
        <v>45</v>
      </c>
      <c r="C11" s="5">
        <v>1.15162037037037E-2</v>
      </c>
      <c r="D11" s="2">
        <f>IF($B11="","",IFERROR(VLOOKUP($B11,Roster!$A$2:$C$200,3,FALSE),IF($C11="","",$C11/$P$5)))</f>
        <v>1.215863391697251</v>
      </c>
      <c r="E11">
        <f>IF($B11="","",IFERROR(VLOOKUP($B11,Roster!$A$2:$D$200,4,FALSE),Control!$B$10))</f>
        <v>0</v>
      </c>
      <c r="F11">
        <f>IF($B11="","",IFERROR(VLOOKUP($B11,Roster!$A$2:$E$200,5,FALSE),0))</f>
        <v>0</v>
      </c>
      <c r="G11" s="5">
        <f t="shared" si="0"/>
        <v>1.1719664968789748E-2</v>
      </c>
      <c r="H11" s="3">
        <f>IF($D11="","",IF($C11="",Control!$B$9,MAX(MIN(($G11-$C11)/$G11,Control!$B$7),Control!$B$8)))</f>
        <v>1.7360672478938442E-2</v>
      </c>
      <c r="I11" s="2">
        <f t="shared" si="1"/>
        <v>1.1947551855748637</v>
      </c>
      <c r="J11" s="2">
        <f>IF($D11="","",IF($E11&gt;0,Control!$B$6,Control!$B$5))</f>
        <v>0.33333333333333331</v>
      </c>
      <c r="K11" s="2">
        <f t="shared" si="2"/>
        <v>1.2088273229897886</v>
      </c>
      <c r="L11">
        <f>IF($B11="","",IF($C11="",IF($M11&gt;=Control!$B$11,Control!$B$10,$E11),MAX($E11-1,0)))</f>
        <v>0</v>
      </c>
      <c r="M11">
        <f t="shared" si="3"/>
        <v>0</v>
      </c>
    </row>
    <row r="12" spans="1:20" x14ac:dyDescent="0.2">
      <c r="A12">
        <v>3</v>
      </c>
      <c r="B12" t="s">
        <v>46</v>
      </c>
      <c r="C12" s="5"/>
      <c r="D12" s="2">
        <f>IF($B12="","",IFERROR(VLOOKUP($B12,Roster!$A$2:$C$200,3,FALSE),IF($C12="","",$C12/$P$5)))</f>
        <v>1.344827586206897</v>
      </c>
      <c r="E12">
        <f>IF($B12="","",IFERROR(VLOOKUP($B12,Roster!$A$2:$D$200,4,FALSE),Control!$B$10))</f>
        <v>0</v>
      </c>
      <c r="F12">
        <f>IF($B12="","",IFERROR(VLOOKUP($B12,Roster!$A$2:$E$200,5,FALSE),0))</f>
        <v>0</v>
      </c>
      <c r="G12" s="5">
        <f t="shared" si="0"/>
        <v>1.2962746356833732E-2</v>
      </c>
      <c r="H12" s="3">
        <f>IF($D12="","",IF($C12="",Control!$B$9,MAX(MIN(($G12-$C12)/$G12,Control!$B$7),Control!$B$8)))</f>
        <v>-7.4999999999999997E-2</v>
      </c>
      <c r="I12" s="2">
        <f t="shared" si="1"/>
        <v>1.344827586206897</v>
      </c>
      <c r="J12" s="2">
        <f>IF($D12="","",IF($E12&gt;0,Control!$B$6,Control!$B$5))</f>
        <v>0.33333333333333331</v>
      </c>
      <c r="K12" s="2">
        <f t="shared" si="2"/>
        <v>1.344827586206897</v>
      </c>
      <c r="L12">
        <f>IF($B12="","",IF($C12="",IF($M12&gt;=Control!$B$11,Control!$B$10,$E12),MAX($E12-1,0)))</f>
        <v>0</v>
      </c>
      <c r="M12">
        <f t="shared" si="3"/>
        <v>1</v>
      </c>
    </row>
    <row r="13" spans="1:20" x14ac:dyDescent="0.2">
      <c r="A13">
        <v>4</v>
      </c>
      <c r="B13" t="s">
        <v>47</v>
      </c>
      <c r="C13" s="5">
        <v>1.165509259259259E-2</v>
      </c>
      <c r="D13" s="2">
        <f>IF($B13="","",IFERROR(VLOOKUP($B13,Roster!$A$2:$C$200,3,FALSE),IF($C13="","",$C13/$P$5)))</f>
        <v>1.2401121794891701</v>
      </c>
      <c r="E13">
        <f>IF($B13="","",IFERROR(VLOOKUP($B13,Roster!$A$2:$D$200,4,FALSE),Control!$B$10))</f>
        <v>0</v>
      </c>
      <c r="F13">
        <f>IF($B13="","",IFERROR(VLOOKUP($B13,Roster!$A$2:$E$200,5,FALSE),0))</f>
        <v>0</v>
      </c>
      <c r="G13" s="5">
        <f t="shared" si="0"/>
        <v>1.1953398191420841E-2</v>
      </c>
      <c r="H13" s="3">
        <f>IF($D13="","",IF($C13="",Control!$B$9,MAX(MIN(($G13-$C13)/$G13,Control!$B$7),Control!$B$8)))</f>
        <v>2.4955715023561278E-2</v>
      </c>
      <c r="I13" s="2">
        <f t="shared" si="1"/>
        <v>1.2091642933405908</v>
      </c>
      <c r="J13" s="2">
        <f>IF($D13="","",IF($E13&gt;0,Control!$B$6,Control!$B$5))</f>
        <v>0.33333333333333331</v>
      </c>
      <c r="K13" s="2">
        <f t="shared" si="2"/>
        <v>1.2297962174396437</v>
      </c>
      <c r="L13">
        <f>IF($B13="","",IF($C13="",IF($M13&gt;=Control!$B$11,Control!$B$10,$E13),MAX($E13-1,0)))</f>
        <v>0</v>
      </c>
      <c r="M13">
        <f t="shared" si="3"/>
        <v>0</v>
      </c>
    </row>
    <row r="14" spans="1:20" x14ac:dyDescent="0.2">
      <c r="A14">
        <v>4</v>
      </c>
      <c r="B14" t="s">
        <v>48</v>
      </c>
      <c r="C14" s="5">
        <v>1.5578703703703701E-2</v>
      </c>
      <c r="D14" s="2">
        <f>IF($B14="","",IFERROR(VLOOKUP($B14,Roster!$A$2:$C$200,3,FALSE),IF($C14="","",$C14/$P$5)))</f>
        <v>1.6105307550903001</v>
      </c>
      <c r="E14">
        <f>IF($B14="","",IFERROR(VLOOKUP($B14,Roster!$A$2:$D$200,4,FALSE),Control!$B$10))</f>
        <v>0</v>
      </c>
      <c r="F14">
        <f>IF($B14="","",IFERROR(VLOOKUP($B14,Roster!$A$2:$E$200,5,FALSE),0))</f>
        <v>0</v>
      </c>
      <c r="G14" s="5">
        <f t="shared" si="0"/>
        <v>1.5523849965778163E-2</v>
      </c>
      <c r="H14" s="3">
        <f>IF($D14="","",IF($C14="",Control!$B$9,MAX(MIN(($G14-$C14)/$G14,Control!$B$7),Control!$B$8)))</f>
        <v>-3.5335137898434036E-3</v>
      </c>
      <c r="I14" s="2">
        <f t="shared" si="1"/>
        <v>1.6162215877223787</v>
      </c>
      <c r="J14" s="2">
        <f>IF($D14="","",IF($E14&gt;0,Control!$B$6,Control!$B$5))</f>
        <v>0.33333333333333331</v>
      </c>
      <c r="K14" s="2">
        <f t="shared" si="2"/>
        <v>1.6124276993009929</v>
      </c>
      <c r="L14">
        <f>IF($B14="","",IF($C14="",IF($M14&gt;=Control!$B$11,Control!$B$10,$E14),MAX($E14-1,0)))</f>
        <v>0</v>
      </c>
      <c r="M14">
        <f t="shared" si="3"/>
        <v>0</v>
      </c>
    </row>
    <row r="15" spans="1:20" x14ac:dyDescent="0.2">
      <c r="A15">
        <v>4</v>
      </c>
      <c r="B15" t="s">
        <v>49</v>
      </c>
      <c r="C15" s="5">
        <v>1.5625E-2</v>
      </c>
      <c r="D15" s="2">
        <f>IF($B15="","",IFERROR(VLOOKUP($B15,Roster!$A$2:$C$200,3,FALSE),IF($C15="","",$C15/$P$5)))</f>
        <v>1.6175320512817979</v>
      </c>
      <c r="E15">
        <f>IF($B15="","",IFERROR(VLOOKUP($B15,Roster!$A$2:$D$200,4,FALSE),Control!$B$10))</f>
        <v>0</v>
      </c>
      <c r="F15">
        <f>IF($B15="","",IFERROR(VLOOKUP($B15,Roster!$A$2:$E$200,5,FALSE),0))</f>
        <v>0</v>
      </c>
      <c r="G15" s="5">
        <f t="shared" si="0"/>
        <v>1.5591335216400833E-2</v>
      </c>
      <c r="H15" s="3">
        <f>IF($D15="","",IF($C15="",Control!$B$9,MAX(MIN(($G15-$C15)/$G15,Control!$B$7),Control!$B$8)))</f>
        <v>-2.1591982426081612E-3</v>
      </c>
      <c r="I15" s="2">
        <f t="shared" si="1"/>
        <v>1.621024623644288</v>
      </c>
      <c r="J15" s="2">
        <f>IF($D15="","",IF($E15&gt;0,Control!$B$6,Control!$B$5))</f>
        <v>0.33333333333333331</v>
      </c>
      <c r="K15" s="2">
        <f t="shared" si="2"/>
        <v>1.6186962420692945</v>
      </c>
      <c r="L15">
        <f>IF($B15="","",IF($C15="",IF($M15&gt;=Control!$B$11,Control!$B$10,$E15),MAX($E15-1,0)))</f>
        <v>0</v>
      </c>
      <c r="M15">
        <f t="shared" si="3"/>
        <v>0</v>
      </c>
    </row>
    <row r="16" spans="1:20" x14ac:dyDescent="0.2">
      <c r="A16">
        <v>4</v>
      </c>
      <c r="B16" t="s">
        <v>50</v>
      </c>
      <c r="C16" s="5">
        <v>1.5960648148148151E-2</v>
      </c>
      <c r="D16" s="2">
        <f>IF($B16="","",IFERROR(VLOOKUP($B16,Roster!$A$2:$C$200,3,FALSE),IF($C16="","",$C16/$P$5)))</f>
        <v>1.651067955887175</v>
      </c>
      <c r="E16">
        <f>IF($B16="","",IFERROR(VLOOKUP($B16,Roster!$A$2:$D$200,4,FALSE),Control!$B$10))</f>
        <v>0</v>
      </c>
      <c r="F16">
        <f>IF($B16="","",IFERROR(VLOOKUP($B16,Roster!$A$2:$E$200,5,FALSE),0))</f>
        <v>0</v>
      </c>
      <c r="G16" s="5">
        <f t="shared" si="0"/>
        <v>1.5914586635173852E-2</v>
      </c>
      <c r="H16" s="3">
        <f>IF($D16="","",IF($C16="",Control!$B$9,MAX(MIN(($G16-$C16)/$G16,Control!$B$7),Control!$B$8)))</f>
        <v>-2.8942952795578719E-3</v>
      </c>
      <c r="I16" s="2">
        <f t="shared" si="1"/>
        <v>1.6558466340781286</v>
      </c>
      <c r="J16" s="2">
        <f>IF($D16="","",IF($E16&gt;0,Control!$B$6,Control!$B$5))</f>
        <v>0.33333333333333331</v>
      </c>
      <c r="K16" s="2">
        <f t="shared" si="2"/>
        <v>1.652660848617493</v>
      </c>
      <c r="L16">
        <f>IF($B16="","",IF($C16="",IF($M16&gt;=Control!$B$11,Control!$B$10,$E16),MAX($E16-1,0)))</f>
        <v>0</v>
      </c>
      <c r="M16">
        <f t="shared" si="3"/>
        <v>0</v>
      </c>
    </row>
    <row r="17" spans="1:13" x14ac:dyDescent="0.2">
      <c r="A17">
        <v>5</v>
      </c>
      <c r="B17" t="s">
        <v>51</v>
      </c>
      <c r="C17" s="5">
        <v>1.0625000000000001E-2</v>
      </c>
      <c r="D17" s="2">
        <f>IF($B17="","",IFERROR(VLOOKUP($B17,Roster!$A$2:$C$200,3,FALSE),IF($C17="","",$C17/$P$5)))</f>
        <v>1.1144551282056829</v>
      </c>
      <c r="E17">
        <f>IF($B17="","",IFERROR(VLOOKUP($B17,Roster!$A$2:$D$200,4,FALSE),Control!$B$10))</f>
        <v>0</v>
      </c>
      <c r="F17">
        <f>IF($B17="","",IFERROR(VLOOKUP($B17,Roster!$A$2:$E$200,5,FALSE),0))</f>
        <v>0</v>
      </c>
      <c r="G17" s="5">
        <f t="shared" si="0"/>
        <v>1.0742194241976501E-2</v>
      </c>
      <c r="H17" s="3">
        <f>IF($D17="","",IF($C17="",Control!$B$9,MAX(MIN(($G17-$C17)/$G17,Control!$B$7),Control!$B$8)))</f>
        <v>1.0909711678694945E-2</v>
      </c>
      <c r="I17" s="2">
        <f t="shared" si="1"/>
        <v>1.102296744078116</v>
      </c>
      <c r="J17" s="2">
        <f>IF($D17="","",IF($E17&gt;0,Control!$B$6,Control!$B$5))</f>
        <v>0.33333333333333331</v>
      </c>
      <c r="K17" s="2">
        <f t="shared" si="2"/>
        <v>1.1104023334964939</v>
      </c>
      <c r="L17">
        <f>IF($B17="","",IF($C17="",IF($M17&gt;=Control!$B$11,Control!$B$10,$E17),MAX($E17-1,0)))</f>
        <v>0</v>
      </c>
      <c r="M17">
        <f t="shared" si="3"/>
        <v>0</v>
      </c>
    </row>
    <row r="18" spans="1:13" x14ac:dyDescent="0.2">
      <c r="A18">
        <v>5</v>
      </c>
      <c r="B18" t="s">
        <v>52</v>
      </c>
      <c r="C18" s="5">
        <v>1.3275462962962959E-2</v>
      </c>
      <c r="D18" s="2">
        <f>IF($B18="","",IFERROR(VLOOKUP($B18,Roster!$A$2:$C$200,3,FALSE),IF($C18="","",$C18/$P$5)))</f>
        <v>1.3723935746197471</v>
      </c>
      <c r="E18">
        <f>IF($B18="","",IFERROR(VLOOKUP($B18,Roster!$A$2:$D$200,4,FALSE),Control!$B$10))</f>
        <v>0</v>
      </c>
      <c r="F18">
        <f>IF($B18="","",IFERROR(VLOOKUP($B18,Roster!$A$2:$E$200,5,FALSE),0))</f>
        <v>0</v>
      </c>
      <c r="G18" s="5">
        <f t="shared" si="0"/>
        <v>1.3228453960943081E-2</v>
      </c>
      <c r="H18" s="3">
        <f>IF($D18="","",IF($C18="",Control!$B$9,MAX(MIN(($G18-$C18)/$G18,Control!$B$7),Control!$B$8)))</f>
        <v>-3.5536278206562692E-3</v>
      </c>
      <c r="I18" s="2">
        <f t="shared" si="1"/>
        <v>1.3772705506074059</v>
      </c>
      <c r="J18" s="2">
        <f>IF($D18="","",IF($E18&gt;0,Control!$B$6,Control!$B$5))</f>
        <v>0.33333333333333331</v>
      </c>
      <c r="K18" s="2">
        <f t="shared" si="2"/>
        <v>1.3740192332823</v>
      </c>
      <c r="L18">
        <f>IF($B18="","",IF($C18="",IF($M18&gt;=Control!$B$11,Control!$B$10,$E18),MAX($E18-1,0)))</f>
        <v>0</v>
      </c>
      <c r="M18">
        <f t="shared" si="3"/>
        <v>0</v>
      </c>
    </row>
    <row r="19" spans="1:13" x14ac:dyDescent="0.2">
      <c r="A19">
        <v>5</v>
      </c>
      <c r="B19" t="s">
        <v>53</v>
      </c>
      <c r="C19" s="5">
        <v>1.396990740740741E-2</v>
      </c>
      <c r="D19" s="2">
        <f>IF($B19="","",IFERROR(VLOOKUP($B19,Roster!$A$2:$C$200,3,FALSE),IF($C19="","",$C19/$P$5)))</f>
        <v>1.450907051282061</v>
      </c>
      <c r="E19">
        <f>IF($B19="","",IFERROR(VLOOKUP($B19,Roster!$A$2:$D$200,4,FALSE),Control!$B$10))</f>
        <v>0</v>
      </c>
      <c r="F19">
        <f>IF($B19="","",IFERROR(VLOOKUP($B19,Roster!$A$2:$E$200,5,FALSE),0))</f>
        <v>0</v>
      </c>
      <c r="G19" s="5">
        <f t="shared" si="0"/>
        <v>1.3985242633338876E-2</v>
      </c>
      <c r="H19" s="3">
        <f>IF($D19="","",IF($C19="",Control!$B$9,MAX(MIN(($G19-$C19)/$G19,Control!$B$7),Control!$B$8)))</f>
        <v>1.0965291295632724E-3</v>
      </c>
      <c r="I19" s="2">
        <f t="shared" si="1"/>
        <v>1.4493160894360415</v>
      </c>
      <c r="J19" s="2">
        <f>IF($D19="","",IF($E19&gt;0,Control!$B$6,Control!$B$5))</f>
        <v>0.33333333333333331</v>
      </c>
      <c r="K19" s="2">
        <f t="shared" si="2"/>
        <v>1.4503767306667212</v>
      </c>
      <c r="L19">
        <f>IF($B19="","",IF($C19="",IF($M19&gt;=Control!$B$11,Control!$B$10,$E19),MAX($E19-1,0)))</f>
        <v>0</v>
      </c>
      <c r="M19">
        <f t="shared" si="3"/>
        <v>0</v>
      </c>
    </row>
    <row r="20" spans="1:13" x14ac:dyDescent="0.2">
      <c r="A20">
        <v>5</v>
      </c>
      <c r="B20" t="s">
        <v>54</v>
      </c>
      <c r="C20" s="5">
        <v>1.8067129629629631E-2</v>
      </c>
      <c r="D20" s="2">
        <f>IF($B20="","",IFERROR(VLOOKUP($B20,Roster!$A$2:$C$200,3,FALSE),IF($C20="","",$C20/$P$5)))</f>
        <v>1.5687339743480999</v>
      </c>
      <c r="E20">
        <f>IF($B20="","",IFERROR(VLOOKUP($B20,Roster!$A$2:$D$200,4,FALSE),Control!$B$10))</f>
        <v>0</v>
      </c>
      <c r="F20">
        <f>IF($B20="","",IFERROR(VLOOKUP($B20,Roster!$A$2:$E$200,5,FALSE),0))</f>
        <v>0</v>
      </c>
      <c r="G20" s="5">
        <f t="shared" si="0"/>
        <v>1.5120972249072863E-2</v>
      </c>
      <c r="H20" s="3">
        <f>IF($D20="","",IF($C20="",Control!$B$9,MAX(MIN(($G20-$C20)/$G20,Control!$B$7),Control!$B$8)))</f>
        <v>-0.05</v>
      </c>
      <c r="I20" s="2">
        <f t="shared" si="1"/>
        <v>1.8743847685249879</v>
      </c>
      <c r="J20" s="2">
        <f>IF($D20="","",IF($E20&gt;0,Control!$B$6,Control!$B$5))</f>
        <v>0.33333333333333331</v>
      </c>
      <c r="K20" s="2">
        <f t="shared" si="2"/>
        <v>1.6706175724070627</v>
      </c>
      <c r="L20">
        <f>IF($B20="","",IF($C20="",IF($M20&gt;=Control!$B$11,Control!$B$10,$E20),MAX($E20-1,0)))</f>
        <v>0</v>
      </c>
      <c r="M20">
        <f t="shared" si="3"/>
        <v>0</v>
      </c>
    </row>
    <row r="21" spans="1:13" x14ac:dyDescent="0.2">
      <c r="A21">
        <v>6</v>
      </c>
      <c r="B21" t="s">
        <v>55</v>
      </c>
      <c r="C21" s="5">
        <v>1.313657407407407E-2</v>
      </c>
      <c r="D21" s="2">
        <f>IF($B21="","",IFERROR(VLOOKUP($B21,Roster!$A$2:$C$200,3,FALSE),IF($C21="","",$C21/$P$5)))</f>
        <v>1.3888581353535101</v>
      </c>
      <c r="E21">
        <f>IF($B21="","",IFERROR(VLOOKUP($B21,Roster!$A$2:$D$200,4,FALSE),Control!$B$10))</f>
        <v>0</v>
      </c>
      <c r="F21">
        <f>IF($B21="","",IFERROR(VLOOKUP($B21,Roster!$A$2:$E$200,5,FALSE),0))</f>
        <v>0</v>
      </c>
      <c r="G21" s="5">
        <f t="shared" si="0"/>
        <v>1.33871552895427E-2</v>
      </c>
      <c r="H21" s="3">
        <f>IF($D21="","",IF($C21="",Control!$B$9,MAX(MIN(($G21-$C21)/$G21,Control!$B$7),Control!$B$8)))</f>
        <v>1.871803307341707E-2</v>
      </c>
      <c r="I21" s="2">
        <f t="shared" si="1"/>
        <v>1.3628614428416788</v>
      </c>
      <c r="J21" s="2">
        <f>IF($D21="","",IF($E21&gt;0,Control!$B$6,Control!$B$5))</f>
        <v>0.33333333333333331</v>
      </c>
      <c r="K21" s="2">
        <f t="shared" si="2"/>
        <v>1.3801925711828997</v>
      </c>
      <c r="L21">
        <f>IF($B21="","",IF($C21="",IF($M21&gt;=Control!$B$11,Control!$B$10,$E21),MAX($E21-1,0)))</f>
        <v>0</v>
      </c>
      <c r="M21">
        <f t="shared" si="3"/>
        <v>0</v>
      </c>
    </row>
    <row r="22" spans="1:13" x14ac:dyDescent="0.2">
      <c r="A22">
        <v>6</v>
      </c>
      <c r="B22" t="s">
        <v>56</v>
      </c>
      <c r="C22" s="5">
        <v>1.34375E-2</v>
      </c>
      <c r="D22" s="2">
        <f>IF($B22="","",IFERROR(VLOOKUP($B22,Roster!$A$2:$C$200,3,FALSE),IF($C22="","",$C22/$P$5)))</f>
        <v>1.3814596499606211</v>
      </c>
      <c r="E22">
        <f>IF($B22="","",IFERROR(VLOOKUP($B22,Roster!$A$2:$D$200,4,FALSE),Control!$B$10))</f>
        <v>0</v>
      </c>
      <c r="F22">
        <f>IF($B22="","",IFERROR(VLOOKUP($B22,Roster!$A$2:$E$200,5,FALSE),0))</f>
        <v>0</v>
      </c>
      <c r="G22" s="5">
        <f t="shared" si="0"/>
        <v>1.3315841546014239E-2</v>
      </c>
      <c r="H22" s="3">
        <f>IF($D22="","",IF($C22="",Control!$B$9,MAX(MIN(($G22-$C22)/$G22,Control!$B$7),Control!$B$8)))</f>
        <v>-9.1363699068780224E-3</v>
      </c>
      <c r="I22" s="2">
        <f t="shared" si="1"/>
        <v>1.3940811763340877</v>
      </c>
      <c r="J22" s="2">
        <f>IF($D22="","",IF($E22&gt;0,Control!$B$6,Control!$B$5))</f>
        <v>0.33333333333333331</v>
      </c>
      <c r="K22" s="2">
        <f t="shared" si="2"/>
        <v>1.3856668254184432</v>
      </c>
      <c r="L22">
        <f>IF($B22="","",IF($C22="",IF($M22&gt;=Control!$B$11,Control!$B$10,$E22),MAX($E22-1,0)))</f>
        <v>0</v>
      </c>
      <c r="M22">
        <f t="shared" si="3"/>
        <v>0</v>
      </c>
    </row>
    <row r="23" spans="1:13" x14ac:dyDescent="0.2">
      <c r="A23">
        <v>6</v>
      </c>
      <c r="B23" t="s">
        <v>57</v>
      </c>
      <c r="C23" s="5">
        <v>1.502314814814815E-2</v>
      </c>
      <c r="D23" s="2">
        <f>IF($B23="","",IFERROR(VLOOKUP($B23,Roster!$A$2:$C$200,3,FALSE),IF($C23="","",$C23/$P$5)))</f>
        <v>1.58583491740071</v>
      </c>
      <c r="E23">
        <f>IF($B23="","",IFERROR(VLOOKUP($B23,Roster!$A$2:$D$200,4,FALSE),Control!$B$10))</f>
        <v>0</v>
      </c>
      <c r="F23">
        <f>IF($B23="","",IFERROR(VLOOKUP($B23,Roster!$A$2:$E$200,5,FALSE),0))</f>
        <v>0</v>
      </c>
      <c r="G23" s="5">
        <f t="shared" si="0"/>
        <v>1.5285807644723008E-2</v>
      </c>
      <c r="H23" s="3">
        <f>IF($D23="","",IF($C23="",Control!$B$9,MAX(MIN(($G23-$C23)/$G23,Control!$B$7),Control!$B$8)))</f>
        <v>1.7183226603373722E-2</v>
      </c>
      <c r="I23" s="2">
        <f t="shared" si="1"/>
        <v>1.5585851566594711</v>
      </c>
      <c r="J23" s="2">
        <f>IF($D23="","",IF($E23&gt;0,Control!$B$6,Control!$B$5))</f>
        <v>0.33333333333333331</v>
      </c>
      <c r="K23" s="2">
        <f t="shared" si="2"/>
        <v>1.576751663820297</v>
      </c>
      <c r="L23">
        <f>IF($B23="","",IF($C23="",IF($M23&gt;=Control!$B$11,Control!$B$10,$E23),MAX($E23-1,0)))</f>
        <v>0</v>
      </c>
      <c r="M23">
        <f t="shared" si="3"/>
        <v>0</v>
      </c>
    </row>
    <row r="24" spans="1:13" x14ac:dyDescent="0.2">
      <c r="A24">
        <v>6</v>
      </c>
      <c r="B24" t="s">
        <v>58</v>
      </c>
      <c r="C24" s="5">
        <v>1.6712962962962961E-2</v>
      </c>
      <c r="D24" s="2">
        <f>IF($B24="","",IFERROR(VLOOKUP($B24,Roster!$A$2:$C$200,3,FALSE),IF($C24="","",$C24/$P$5)))</f>
        <v>1.718525641024788</v>
      </c>
      <c r="E24">
        <f>IF($B24="","",IFERROR(VLOOKUP($B24,Roster!$A$2:$D$200,4,FALSE),Control!$B$10))</f>
        <v>0</v>
      </c>
      <c r="F24">
        <f>IF($B24="","",IFERROR(VLOOKUP($B24,Roster!$A$2:$E$200,5,FALSE),0))</f>
        <v>0</v>
      </c>
      <c r="G24" s="5">
        <f t="shared" si="0"/>
        <v>1.6564808917365722E-2</v>
      </c>
      <c r="H24" s="3">
        <f>IF($D24="","",IF($C24="",Control!$B$9,MAX(MIN(($G24-$C24)/$G24,Control!$B$7),Control!$B$8)))</f>
        <v>-8.9439030861334888E-3</v>
      </c>
      <c r="I24" s="2">
        <f t="shared" si="1"/>
        <v>1.7338959678091492</v>
      </c>
      <c r="J24" s="2">
        <f>IF($D24="","",IF($E24&gt;0,Control!$B$6,Control!$B$5))</f>
        <v>0.33333333333333331</v>
      </c>
      <c r="K24" s="2">
        <f t="shared" si="2"/>
        <v>1.7236490832862417</v>
      </c>
      <c r="L24">
        <f>IF($B24="","",IF($C24="",IF($M24&gt;=Control!$B$11,Control!$B$10,$E24),MAX($E24-1,0)))</f>
        <v>0</v>
      </c>
      <c r="M24">
        <f t="shared" si="3"/>
        <v>0</v>
      </c>
    </row>
    <row r="25" spans="1:13" x14ac:dyDescent="0.2">
      <c r="A25">
        <v>6</v>
      </c>
      <c r="B25" t="s">
        <v>59</v>
      </c>
      <c r="C25" s="5">
        <v>1.7106481481481479E-2</v>
      </c>
      <c r="D25" s="2">
        <f>IF($B25="","",IFERROR(VLOOKUP($B25,Roster!$A$2:$C$200,3,FALSE),IF($C25="","",$C25/$P$5)))</f>
        <v>1.7721474358972209</v>
      </c>
      <c r="E25">
        <f>IF($B25="","",IFERROR(VLOOKUP($B25,Roster!$A$2:$D$200,4,FALSE),Control!$B$10))</f>
        <v>0</v>
      </c>
      <c r="F25">
        <f>IF($B25="","",IFERROR(VLOOKUP($B25,Roster!$A$2:$E$200,5,FALSE),0))</f>
        <v>0</v>
      </c>
      <c r="G25" s="5">
        <f t="shared" si="0"/>
        <v>1.7081667534231258E-2</v>
      </c>
      <c r="H25" s="3">
        <f>IF($D25="","",IF($C25="",Control!$B$9,MAX(MIN(($G25-$C25)/$G25,Control!$B$7),Control!$B$8)))</f>
        <v>-1.4526653911566111E-3</v>
      </c>
      <c r="I25" s="2">
        <f t="shared" si="1"/>
        <v>1.7747217731453757</v>
      </c>
      <c r="J25" s="2">
        <f>IF($D25="","",IF($E25&gt;0,Control!$B$6,Control!$B$5))</f>
        <v>0.33333333333333331</v>
      </c>
      <c r="K25" s="2">
        <f t="shared" si="2"/>
        <v>1.7730055483132725</v>
      </c>
      <c r="L25">
        <f>IF($B25="","",IF($C25="",IF($M25&gt;=Control!$B$11,Control!$B$10,$E25),MAX($E25-1,0)))</f>
        <v>0</v>
      </c>
      <c r="M25">
        <f t="shared" si="3"/>
        <v>0</v>
      </c>
    </row>
    <row r="26" spans="1:13" x14ac:dyDescent="0.2">
      <c r="A26">
        <v>7</v>
      </c>
      <c r="B26" t="s">
        <v>60</v>
      </c>
      <c r="C26" s="5">
        <v>1.008101851851852E-2</v>
      </c>
      <c r="D26" s="2">
        <f>IF($B26="","",IFERROR(VLOOKUP($B26,Roster!$A$2:$C$200,3,FALSE),IF($C26="","",$C26/$P$5)))</f>
        <v>1.0706250000014399</v>
      </c>
      <c r="E26">
        <f>IF($B26="","",IFERROR(VLOOKUP($B26,Roster!$A$2:$D$200,4,FALSE),Control!$B$10))</f>
        <v>0</v>
      </c>
      <c r="F26">
        <f>IF($B26="","",IFERROR(VLOOKUP($B26,Roster!$A$2:$E$200,5,FALSE),0))</f>
        <v>0</v>
      </c>
      <c r="G26" s="5">
        <f t="shared" si="0"/>
        <v>1.0319717159764345E-2</v>
      </c>
      <c r="H26" s="3">
        <f>IF($D26="","",IF($C26="",Control!$B$9,MAX(MIN(($G26-$C26)/$G26,Control!$B$7),Control!$B$8)))</f>
        <v>2.3130347232430865E-2</v>
      </c>
      <c r="I26" s="2">
        <f t="shared" si="1"/>
        <v>1.0458610719956853</v>
      </c>
      <c r="J26" s="2">
        <f>IF($D26="","",IF($E26&gt;0,Control!$B$6,Control!$B$5))</f>
        <v>0.33333333333333331</v>
      </c>
      <c r="K26" s="2">
        <f t="shared" si="2"/>
        <v>1.0623703573328551</v>
      </c>
      <c r="L26">
        <f>IF($B26="","",IF($C26="",IF($M26&gt;=Control!$B$11,Control!$B$10,$E26),MAX($E26-1,0)))</f>
        <v>0</v>
      </c>
      <c r="M26">
        <f t="shared" si="3"/>
        <v>0</v>
      </c>
    </row>
    <row r="27" spans="1:13" x14ac:dyDescent="0.2">
      <c r="A27">
        <v>7</v>
      </c>
      <c r="B27" t="s">
        <v>61</v>
      </c>
      <c r="C27" s="5">
        <v>1.06712962962963E-2</v>
      </c>
      <c r="D27" s="2">
        <f>IF($B27="","",IFERROR(VLOOKUP($B27,Roster!$A$2:$C$200,3,FALSE),IF($C27="","",$C27/$P$5)))</f>
        <v>1.1233910256422901</v>
      </c>
      <c r="E27">
        <f>IF($B27="","",IFERROR(VLOOKUP($B27,Roster!$A$2:$D$200,4,FALSE),Control!$B$10))</f>
        <v>0</v>
      </c>
      <c r="F27">
        <f>IF($B27="","",IFERROR(VLOOKUP($B27,Roster!$A$2:$E$200,5,FALSE),0))</f>
        <v>0</v>
      </c>
      <c r="G27" s="5">
        <f t="shared" si="0"/>
        <v>1.0828327046753454E-2</v>
      </c>
      <c r="H27" s="3">
        <f>IF($D27="","",IF($C27="",Control!$B$9,MAX(MIN(($G27-$C27)/$G27,Control!$B$7),Control!$B$8)))</f>
        <v>1.4501847771972739E-2</v>
      </c>
      <c r="I27" s="2">
        <f t="shared" si="1"/>
        <v>1.1070997800000253</v>
      </c>
      <c r="J27" s="2">
        <f>IF($D27="","",IF($E27&gt;0,Control!$B$6,Control!$B$5))</f>
        <v>0.33333333333333331</v>
      </c>
      <c r="K27" s="2">
        <f t="shared" si="2"/>
        <v>1.1179606104282018</v>
      </c>
      <c r="L27">
        <f>IF($B27="","",IF($C27="",IF($M27&gt;=Control!$B$11,Control!$B$10,$E27),MAX($E27-1,0)))</f>
        <v>0</v>
      </c>
      <c r="M27">
        <f t="shared" si="3"/>
        <v>0</v>
      </c>
    </row>
    <row r="28" spans="1:13" x14ac:dyDescent="0.2">
      <c r="A28">
        <v>7</v>
      </c>
      <c r="B28" t="s">
        <v>62</v>
      </c>
      <c r="C28" s="5">
        <v>1.33912037037037E-2</v>
      </c>
      <c r="D28" s="2">
        <f>IF($B28="","",IFERROR(VLOOKUP($B28,Roster!$A$2:$C$200,3,FALSE),IF($C28="","",$C28/$P$5)))</f>
        <v>1.3968750000003129</v>
      </c>
      <c r="E28">
        <f>IF($B28="","",IFERROR(VLOOKUP($B28,Roster!$A$2:$D$200,4,FALSE),Control!$B$10))</f>
        <v>0</v>
      </c>
      <c r="F28">
        <f>IF($B28="","",IFERROR(VLOOKUP($B28,Roster!$A$2:$E$200,5,FALSE),0))</f>
        <v>0</v>
      </c>
      <c r="G28" s="5">
        <f t="shared" si="0"/>
        <v>1.3464429569204588E-2</v>
      </c>
      <c r="H28" s="3">
        <f>IF($D28="","",IF($C28="",Control!$B$9,MAX(MIN(($G28-$C28)/$G28,Control!$B$7),Control!$B$8)))</f>
        <v>5.4384677140996386E-3</v>
      </c>
      <c r="I28" s="2">
        <f t="shared" si="1"/>
        <v>1.3892781404121783</v>
      </c>
      <c r="J28" s="2">
        <f>IF($D28="","",IF($E28&gt;0,Control!$B$6,Control!$B$5))</f>
        <v>0.33333333333333331</v>
      </c>
      <c r="K28" s="2">
        <f t="shared" si="2"/>
        <v>1.3943427134709347</v>
      </c>
      <c r="L28">
        <f>IF($B28="","",IF($C28="",IF($M28&gt;=Control!$B$11,Control!$B$10,$E28),MAX($E28-1,0)))</f>
        <v>0</v>
      </c>
      <c r="M28">
        <f t="shared" si="3"/>
        <v>0</v>
      </c>
    </row>
    <row r="29" spans="1:13" x14ac:dyDescent="0.2">
      <c r="A29">
        <v>7</v>
      </c>
      <c r="B29" t="s">
        <v>63</v>
      </c>
      <c r="C29" s="5">
        <v>1.34375E-2</v>
      </c>
      <c r="D29" s="2">
        <f>IF($B29="","",IFERROR(VLOOKUP($B29,Roster!$A$2:$C$200,3,FALSE),IF($C29="","",$C29/$P$5)))</f>
        <v>1.395810897435916</v>
      </c>
      <c r="E29">
        <f>IF($B29="","",IFERROR(VLOOKUP($B29,Roster!$A$2:$D$200,4,FALSE),Control!$B$10))</f>
        <v>0</v>
      </c>
      <c r="F29">
        <f>IF($B29="","",IFERROR(VLOOKUP($B29,Roster!$A$2:$E$200,5,FALSE),0))</f>
        <v>0</v>
      </c>
      <c r="G29" s="5">
        <f t="shared" si="0"/>
        <v>1.3454172721574894E-2</v>
      </c>
      <c r="H29" s="3">
        <f>IF($D29="","",IF($C29="",Control!$B$9,MAX(MIN(($G29-$C29)/$G29,Control!$B$7),Control!$B$8)))</f>
        <v>1.2392230960554E-3</v>
      </c>
      <c r="I29" s="2">
        <f t="shared" si="1"/>
        <v>1.3940811763340877</v>
      </c>
      <c r="J29" s="2">
        <f>IF($D29="","",IF($E29&gt;0,Control!$B$6,Control!$B$5))</f>
        <v>0.33333333333333331</v>
      </c>
      <c r="K29" s="2">
        <f t="shared" si="2"/>
        <v>1.3952343237353066</v>
      </c>
      <c r="L29">
        <f>IF($B29="","",IF($C29="",IF($M29&gt;=Control!$B$11,Control!$B$10,$E29),MAX($E29-1,0)))</f>
        <v>0</v>
      </c>
      <c r="M29">
        <f t="shared" si="3"/>
        <v>0</v>
      </c>
    </row>
    <row r="30" spans="1:13" x14ac:dyDescent="0.2">
      <c r="A30">
        <v>7</v>
      </c>
      <c r="B30" t="s">
        <v>64</v>
      </c>
      <c r="C30" s="5">
        <v>1.4375000000000001E-2</v>
      </c>
      <c r="D30" s="2">
        <f>IF($B30="","",IFERROR(VLOOKUP($B30,Roster!$A$2:$C$200,3,FALSE),IF($C30="","",$C30/$P$5)))</f>
        <v>1.4442628205113901</v>
      </c>
      <c r="E30">
        <f>IF($B30="","",IFERROR(VLOOKUP($B30,Roster!$A$2:$D$200,4,FALSE),Control!$B$10))</f>
        <v>0</v>
      </c>
      <c r="F30">
        <f>IF($B30="","",IFERROR(VLOOKUP($B30,Roster!$A$2:$E$200,5,FALSE),0))</f>
        <v>0</v>
      </c>
      <c r="G30" s="5">
        <f t="shared" si="0"/>
        <v>1.3921199123895856E-2</v>
      </c>
      <c r="H30" s="3">
        <f>IF($D30="","",IF($C30="",Control!$B$9,MAX(MIN(($G30-$C30)/$G30,Control!$B$7),Control!$B$8)))</f>
        <v>-3.2597829545099447E-2</v>
      </c>
      <c r="I30" s="2">
        <f t="shared" si="1"/>
        <v>1.491342653752745</v>
      </c>
      <c r="J30" s="2">
        <f>IF($D30="","",IF($E30&gt;0,Control!$B$6,Control!$B$5))</f>
        <v>0.33333333333333331</v>
      </c>
      <c r="K30" s="2">
        <f t="shared" si="2"/>
        <v>1.4599560982585085</v>
      </c>
      <c r="L30">
        <f>IF($B30="","",IF($C30="",IF($M30&gt;=Control!$B$11,Control!$B$10,$E30),MAX($E30-1,0)))</f>
        <v>0</v>
      </c>
      <c r="M30">
        <f t="shared" si="3"/>
        <v>0</v>
      </c>
    </row>
    <row r="31" spans="1:13" x14ac:dyDescent="0.2">
      <c r="C31" s="5"/>
      <c r="D31" s="2" t="str">
        <f>IF($B31="","",IFERROR(VLOOKUP($B31,Roster!$A$2:$C$200,3,FALSE),IF($C31="","",$C31/$P$5)))</f>
        <v/>
      </c>
      <c r="E31" t="str">
        <f>IF($B31="","",IFERROR(VLOOKUP($B31,Roster!$A$2:$D$200,4,FALSE),Control!$B$10))</f>
        <v/>
      </c>
      <c r="F31" t="str">
        <f>IF($B31="","",IFERROR(VLOOKUP($B31,Roster!$A$2:$E$200,5,FALSE),0))</f>
        <v/>
      </c>
      <c r="G31" s="5" t="str">
        <f t="shared" si="0"/>
        <v/>
      </c>
      <c r="H31" s="3" t="str">
        <f>IF($D31="","",IF($C31="",Control!$B$9,MAX(MIN(($G31-$C31)/$G31,Control!$B$7),Control!$B$8)))</f>
        <v/>
      </c>
      <c r="I31" s="2" t="str">
        <f t="shared" si="1"/>
        <v/>
      </c>
      <c r="J31" s="2" t="str">
        <f>IF($D31="","",IF($E31&gt;0,Control!$B$6,Control!$B$5))</f>
        <v/>
      </c>
      <c r="K31" s="2" t="str">
        <f t="shared" si="2"/>
        <v/>
      </c>
      <c r="L31" t="str">
        <f>IF($B31="","",IF($C31="",IF($M31&gt;=Control!$B$11,Control!$B$10,$E31),MAX($E31-1,0)))</f>
        <v/>
      </c>
      <c r="M31" t="str">
        <f t="shared" si="3"/>
        <v/>
      </c>
    </row>
    <row r="32" spans="1:13" x14ac:dyDescent="0.2">
      <c r="C32" s="5"/>
      <c r="D32" s="2" t="str">
        <f>IF($B32="","",IFERROR(VLOOKUP($B32,Roster!$A$2:$C$200,3,FALSE),IF($C32="","",$C32/$P$5)))</f>
        <v/>
      </c>
      <c r="E32" t="str">
        <f>IF($B32="","",IFERROR(VLOOKUP($B32,Roster!$A$2:$D$200,4,FALSE),Control!$B$10))</f>
        <v/>
      </c>
      <c r="F32" t="str">
        <f>IF($B32="","",IFERROR(VLOOKUP($B32,Roster!$A$2:$E$200,5,FALSE),0))</f>
        <v/>
      </c>
      <c r="G32" s="5" t="str">
        <f t="shared" si="0"/>
        <v/>
      </c>
      <c r="H32" s="3" t="str">
        <f>IF($D32="","",IF($C32="",Control!$B$9,MAX(MIN(($G32-$C32)/$G32,Control!$B$7),Control!$B$8)))</f>
        <v/>
      </c>
      <c r="I32" s="2" t="str">
        <f t="shared" si="1"/>
        <v/>
      </c>
      <c r="J32" s="2" t="str">
        <f>IF($D32="","",IF($E32&gt;0,Control!$B$6,Control!$B$5))</f>
        <v/>
      </c>
      <c r="K32" s="2" t="str">
        <f t="shared" si="2"/>
        <v/>
      </c>
      <c r="L32" t="str">
        <f>IF($B32="","",IF($C32="",IF($M32&gt;=Control!$B$11,Control!$B$10,$E32),MAX($E32-1,0)))</f>
        <v/>
      </c>
      <c r="M32" t="str">
        <f t="shared" si="3"/>
        <v/>
      </c>
    </row>
    <row r="33" spans="3:13" x14ac:dyDescent="0.2">
      <c r="C33" s="5"/>
      <c r="D33" s="2" t="str">
        <f>IF($B33="","",IFERROR(VLOOKUP($B33,Roster!$A$2:$C$200,3,FALSE),IF($C33="","",$C33/$P$5)))</f>
        <v/>
      </c>
      <c r="E33" t="str">
        <f>IF($B33="","",IFERROR(VLOOKUP($B33,Roster!$A$2:$D$200,4,FALSE),Control!$B$10))</f>
        <v/>
      </c>
      <c r="F33" t="str">
        <f>IF($B33="","",IFERROR(VLOOKUP($B33,Roster!$A$2:$E$200,5,FALSE),0))</f>
        <v/>
      </c>
      <c r="G33" s="5" t="str">
        <f t="shared" si="0"/>
        <v/>
      </c>
      <c r="H33" s="3" t="str">
        <f>IF($D33="","",IF($C33="",Control!$B$9,MAX(MIN(($G33-$C33)/$G33,Control!$B$7),Control!$B$8)))</f>
        <v/>
      </c>
      <c r="I33" s="2" t="str">
        <f t="shared" si="1"/>
        <v/>
      </c>
      <c r="J33" s="2" t="str">
        <f>IF($D33="","",IF($E33&gt;0,Control!$B$6,Control!$B$5))</f>
        <v/>
      </c>
      <c r="K33" s="2" t="str">
        <f t="shared" si="2"/>
        <v/>
      </c>
      <c r="L33" t="str">
        <f>IF($B33="","",IF($C33="",IF($M33&gt;=Control!$B$11,Control!$B$10,$E33),MAX($E33-1,0)))</f>
        <v/>
      </c>
      <c r="M33" t="str">
        <f t="shared" si="3"/>
        <v/>
      </c>
    </row>
    <row r="34" spans="3:13" x14ac:dyDescent="0.2">
      <c r="C34" s="5"/>
      <c r="D34" s="2" t="str">
        <f>IF($B34="","",IFERROR(VLOOKUP($B34,Roster!$A$2:$C$200,3,FALSE),IF($C34="","",$C34/$P$5)))</f>
        <v/>
      </c>
      <c r="E34" t="str">
        <f>IF($B34="","",IFERROR(VLOOKUP($B34,Roster!$A$2:$D$200,4,FALSE),Control!$B$10))</f>
        <v/>
      </c>
      <c r="F34" t="str">
        <f>IF($B34="","",IFERROR(VLOOKUP($B34,Roster!$A$2:$E$200,5,FALSE),0))</f>
        <v/>
      </c>
      <c r="G34" s="5" t="str">
        <f t="shared" si="0"/>
        <v/>
      </c>
      <c r="H34" s="3" t="str">
        <f>IF($D34="","",IF($C34="",Control!$B$9,MAX(MIN(($G34-$C34)/$G34,Control!$B$7),Control!$B$8)))</f>
        <v/>
      </c>
      <c r="I34" s="2" t="str">
        <f t="shared" si="1"/>
        <v/>
      </c>
      <c r="J34" s="2" t="str">
        <f>IF($D34="","",IF($E34&gt;0,Control!$B$6,Control!$B$5))</f>
        <v/>
      </c>
      <c r="K34" s="2" t="str">
        <f t="shared" si="2"/>
        <v/>
      </c>
      <c r="L34" t="str">
        <f>IF($B34="","",IF($C34="",IF($M34&gt;=Control!$B$11,Control!$B$10,$E34),MAX($E34-1,0)))</f>
        <v/>
      </c>
      <c r="M34" t="str">
        <f t="shared" si="3"/>
        <v/>
      </c>
    </row>
    <row r="35" spans="3:13" x14ac:dyDescent="0.2">
      <c r="C35" s="5"/>
      <c r="D35" s="2" t="str">
        <f>IF($B35="","",IFERROR(VLOOKUP($B35,Roster!$A$2:$C$200,3,FALSE),IF($C35="","",$C35/$P$5)))</f>
        <v/>
      </c>
      <c r="E35" t="str">
        <f>IF($B35="","",IFERROR(VLOOKUP($B35,Roster!$A$2:$D$200,4,FALSE),Control!$B$10))</f>
        <v/>
      </c>
      <c r="F35" t="str">
        <f>IF($B35="","",IFERROR(VLOOKUP($B35,Roster!$A$2:$E$200,5,FALSE),0))</f>
        <v/>
      </c>
      <c r="G35" s="5" t="str">
        <f t="shared" si="0"/>
        <v/>
      </c>
      <c r="H35" s="3" t="str">
        <f>IF($D35="","",IF($C35="",Control!$B$9,MAX(MIN(($G35-$C35)/$G35,Control!$B$7),Control!$B$8)))</f>
        <v/>
      </c>
      <c r="I35" s="2" t="str">
        <f t="shared" si="1"/>
        <v/>
      </c>
      <c r="J35" s="2" t="str">
        <f>IF($D35="","",IF($E35&gt;0,Control!$B$6,Control!$B$5))</f>
        <v/>
      </c>
      <c r="K35" s="2" t="str">
        <f t="shared" si="2"/>
        <v/>
      </c>
      <c r="L35" t="str">
        <f>IF($B35="","",IF($C35="",IF($M35&gt;=Control!$B$11,Control!$B$10,$E35),MAX($E35-1,0)))</f>
        <v/>
      </c>
      <c r="M35" t="str">
        <f t="shared" si="3"/>
        <v/>
      </c>
    </row>
    <row r="36" spans="3:13" x14ac:dyDescent="0.2">
      <c r="C36" s="5"/>
      <c r="D36" s="2" t="str">
        <f>IF($B36="","",IFERROR(VLOOKUP($B36,Roster!$A$2:$C$200,3,FALSE),IF($C36="","",$C36/$P$5)))</f>
        <v/>
      </c>
      <c r="E36" t="str">
        <f>IF($B36="","",IFERROR(VLOOKUP($B36,Roster!$A$2:$D$200,4,FALSE),Control!$B$10))</f>
        <v/>
      </c>
      <c r="F36" t="str">
        <f>IF($B36="","",IFERROR(VLOOKUP($B36,Roster!$A$2:$E$200,5,FALSE),0))</f>
        <v/>
      </c>
      <c r="G36" s="5" t="str">
        <f t="shared" si="0"/>
        <v/>
      </c>
      <c r="H36" s="3" t="str">
        <f>IF($D36="","",IF($C36="",Control!$B$9,MAX(MIN(($G36-$C36)/$G36,Control!$B$7),Control!$B$8)))</f>
        <v/>
      </c>
      <c r="I36" s="2" t="str">
        <f t="shared" si="1"/>
        <v/>
      </c>
      <c r="J36" s="2" t="str">
        <f>IF($D36="","",IF($E36&gt;0,Control!$B$6,Control!$B$5))</f>
        <v/>
      </c>
      <c r="K36" s="2" t="str">
        <f t="shared" si="2"/>
        <v/>
      </c>
      <c r="L36" t="str">
        <f>IF($B36="","",IF($C36="",IF($M36&gt;=Control!$B$11,Control!$B$10,$E36),MAX($E36-1,0)))</f>
        <v/>
      </c>
      <c r="M36" t="str">
        <f t="shared" si="3"/>
        <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6"/>
  <sheetViews>
    <sheetView workbookViewId="0"/>
  </sheetViews>
  <sheetFormatPr baseColWidth="10" defaultColWidth="8.83203125" defaultRowHeight="15" x14ac:dyDescent="0.2"/>
  <cols>
    <col min="2" max="2" width="18" customWidth="1"/>
    <col min="3" max="4" width="11" customWidth="1"/>
    <col min="5" max="6" width="13" customWidth="1"/>
    <col min="7" max="11" width="11" customWidth="1"/>
    <col min="12" max="13" width="13" customWidth="1"/>
    <col min="15" max="15" width="28" customWidth="1"/>
    <col min="16" max="16" width="11" customWidth="1"/>
    <col min="19" max="19" width="11" customWidth="1"/>
  </cols>
  <sheetData>
    <row r="1" spans="1:20" x14ac:dyDescent="0.2">
      <c r="A1" s="1" t="s">
        <v>3</v>
      </c>
      <c r="B1" s="1" t="s">
        <v>4</v>
      </c>
      <c r="C1" s="1" t="s">
        <v>65</v>
      </c>
      <c r="D1" s="1" t="s">
        <v>66</v>
      </c>
      <c r="E1" s="1" t="s">
        <v>67</v>
      </c>
      <c r="F1" s="1" t="s">
        <v>68</v>
      </c>
      <c r="G1" s="1" t="s">
        <v>7</v>
      </c>
      <c r="H1" s="1" t="s">
        <v>8</v>
      </c>
      <c r="I1" s="1" t="s">
        <v>69</v>
      </c>
      <c r="J1" s="1" t="s">
        <v>70</v>
      </c>
      <c r="K1" s="1" t="s">
        <v>71</v>
      </c>
      <c r="L1" s="1" t="s">
        <v>72</v>
      </c>
      <c r="M1" s="1" t="s">
        <v>73</v>
      </c>
      <c r="O1" s="1" t="s">
        <v>74</v>
      </c>
      <c r="R1" s="1" t="s">
        <v>3</v>
      </c>
      <c r="S1" s="1" t="s">
        <v>9</v>
      </c>
      <c r="T1" s="1" t="s">
        <v>5</v>
      </c>
    </row>
    <row r="2" spans="1:20" x14ac:dyDescent="0.2">
      <c r="A2">
        <v>1</v>
      </c>
      <c r="B2" t="s">
        <v>13</v>
      </c>
      <c r="C2" s="5">
        <v>7.8819444444444449E-3</v>
      </c>
      <c r="D2" s="2">
        <f>IF($B2="","",IFERROR(VLOOKUP($B2,'Sting in the tail'!$B$2:$M$36,10,FALSE),IF($C2="","",$C2/$P$5)))</f>
        <v>0.99967715725235751</v>
      </c>
      <c r="E2">
        <f>IF($B2="","",IFERROR(VLOOKUP($B2,'Sting in the tail'!$B$2:$M$36,11,FALSE),Control!$B$10))</f>
        <v>0</v>
      </c>
      <c r="F2">
        <f>IF($B2="","",IFERROR(VLOOKUP($B2,'Sting in the tail'!$B$2:$M$36,12,FALSE),0))</f>
        <v>0</v>
      </c>
      <c r="G2" s="5">
        <f t="shared" ref="G2:G36" si="0">IF($D2="","",$D2*$P$5)</f>
        <v>7.8254209603824416E-3</v>
      </c>
      <c r="H2" s="3">
        <f>IF($D2="","",IF($C2="",Control!$B$9,MAX(MIN(($G2-$C2)/$G2,Control!$B$7),Control!$B$8)))</f>
        <v>-7.2230598645316732E-3</v>
      </c>
      <c r="I2" s="2">
        <f t="shared" ref="I2:I36" si="1">IF($D2="","",IF($C2="",$D2,$C2/$P$5))</f>
        <v>1.0068978852043962</v>
      </c>
      <c r="J2" s="2">
        <f>IF($D2="","",IF($E2&gt;0,Control!$B$6,Control!$B$5))</f>
        <v>0.33333333333333331</v>
      </c>
      <c r="K2" s="2">
        <f t="shared" ref="K2:K36" si="2">IF($D2="","",$D2-$J2*($D2-$I2))</f>
        <v>1.0020840665697037</v>
      </c>
      <c r="L2">
        <f>IF($B2="","",IF($C2="",IF($M2&gt;=Control!$B$11,Control!$B$10,$E2),MAX($E2-1,0)))</f>
        <v>0</v>
      </c>
      <c r="M2">
        <f t="shared" ref="M2:M36" si="3">IF($B2="","",IF($C2="",$F2+1,0))</f>
        <v>0</v>
      </c>
      <c r="O2" t="str">
        <f>Control!$B$2</f>
        <v>Ben Wernick</v>
      </c>
      <c r="P2" s="5">
        <f>IFERROR(IF(VLOOKUP($O2,$B$2:$C$36,2,FALSE)=0,"",VLOOKUP($O2,$B$2:$C$36,2,FALSE)/VLOOKUP($O2,$B$2:$D$36,3,FALSE)),"")</f>
        <v>7.8844898948258503E-3</v>
      </c>
      <c r="R2">
        <v>1</v>
      </c>
      <c r="S2" s="3">
        <f t="shared" ref="S2:S8" si="4">AVERAGEIF($A$2:$A$36,$R2,$H$2:$H$36)</f>
        <v>-1.4624606166736711E-2</v>
      </c>
      <c r="T2">
        <f t="shared" ref="T2:T8" si="5">RANK($S2,$S$2:$S$8)</f>
        <v>5</v>
      </c>
    </row>
    <row r="3" spans="1:20" x14ac:dyDescent="0.2">
      <c r="A3">
        <v>1</v>
      </c>
      <c r="B3" t="s">
        <v>39</v>
      </c>
      <c r="C3" s="5">
        <v>8.726851851851852E-3</v>
      </c>
      <c r="D3" s="2">
        <f>IF($B3="","",IFERROR(VLOOKUP($B3,'Sting in the tail'!$B$2:$M$36,10,FALSE),IF($C3="","",$C3/$P$5)))</f>
        <v>1.068602784713248</v>
      </c>
      <c r="E3">
        <f>IF($B3="","",IFERROR(VLOOKUP($B3,'Sting in the tail'!$B$2:$M$36,11,FALSE),Control!$B$10))</f>
        <v>0</v>
      </c>
      <c r="F3">
        <f>IF($B3="","",IFERROR(VLOOKUP($B3,'Sting in the tail'!$B$2:$M$36,12,FALSE),0))</f>
        <v>0</v>
      </c>
      <c r="G3" s="5">
        <f t="shared" si="0"/>
        <v>8.3649671988125004E-3</v>
      </c>
      <c r="H3" s="3">
        <f>IF($D3="","",IF($C3="",Control!$B$9,MAX(MIN(($G3-$C3)/$G3,Control!$B$7),Control!$B$8)))</f>
        <v>-4.326193330330394E-2</v>
      </c>
      <c r="I3" s="2">
        <f t="shared" si="1"/>
        <v>1.1148326071132375</v>
      </c>
      <c r="J3" s="2">
        <f>IF($D3="","",IF($E3&gt;0,Control!$B$6,Control!$B$5))</f>
        <v>0.33333333333333331</v>
      </c>
      <c r="K3" s="2">
        <f t="shared" si="2"/>
        <v>1.0840127255132446</v>
      </c>
      <c r="L3">
        <f>IF($B3="","",IF($C3="",IF($M3&gt;=Control!$B$11,Control!$B$10,$E3),MAX($E3-1,0)))</f>
        <v>0</v>
      </c>
      <c r="M3">
        <f t="shared" si="3"/>
        <v>0</v>
      </c>
      <c r="O3" t="str">
        <f>Control!$B$3</f>
        <v>Mark Emery</v>
      </c>
      <c r="P3" s="5">
        <f>IFERROR(IF(VLOOKUP($O3,$B$2:$C$36,2,FALSE)=0,"",VLOOKUP($O3,$B$2:$C$36,2,FALSE)/VLOOKUP($O3,$B$2:$D$36,3,FALSE)),"")</f>
        <v>7.3526079220794273E-3</v>
      </c>
      <c r="R3">
        <v>2</v>
      </c>
      <c r="S3" s="3">
        <f t="shared" si="4"/>
        <v>1.0353933262194137E-2</v>
      </c>
      <c r="T3">
        <f t="shared" si="5"/>
        <v>2</v>
      </c>
    </row>
    <row r="4" spans="1:20" x14ac:dyDescent="0.2">
      <c r="A4">
        <v>1</v>
      </c>
      <c r="B4" t="s">
        <v>17</v>
      </c>
      <c r="C4" s="5">
        <v>9.1550925925925931E-3</v>
      </c>
      <c r="D4" s="2">
        <f>IF($B4="","",IFERROR(VLOOKUP($B4,'Sting in the tail'!$B$2:$M$36,10,FALSE),IF($C4="","",$C4/$P$5)))</f>
        <v>1.169539246984842</v>
      </c>
      <c r="E4">
        <f>IF($B4="","",IFERROR(VLOOKUP($B4,'Sting in the tail'!$B$2:$M$36,11,FALSE),Control!$B$10))</f>
        <v>0</v>
      </c>
      <c r="F4">
        <f>IF($B4="","",IFERROR(VLOOKUP($B4,'Sting in the tail'!$B$2:$M$36,12,FALSE),0))</f>
        <v>0</v>
      </c>
      <c r="G4" s="5">
        <f t="shared" si="0"/>
        <v>9.1550925925925931E-3</v>
      </c>
      <c r="H4" s="3">
        <f>IF($D4="","",IF($C4="",Control!$B$9,MAX(MIN(($G4-$C4)/$G4,Control!$B$7),Control!$B$8)))</f>
        <v>0</v>
      </c>
      <c r="I4" s="2">
        <f t="shared" si="1"/>
        <v>1.169539246984842</v>
      </c>
      <c r="J4" s="2">
        <f>IF($D4="","",IF($E4&gt;0,Control!$B$6,Control!$B$5))</f>
        <v>0.33333333333333331</v>
      </c>
      <c r="K4" s="2">
        <f t="shared" si="2"/>
        <v>1.169539246984842</v>
      </c>
      <c r="L4">
        <f>IF($B4="","",IF($C4="",IF($M4&gt;=Control!$B$11,Control!$B$10,$E4),MAX($E4-1,0)))</f>
        <v>0</v>
      </c>
      <c r="M4">
        <f t="shared" si="3"/>
        <v>0</v>
      </c>
      <c r="O4" t="str">
        <f>Control!$B$4</f>
        <v>Anne Marie Moon</v>
      </c>
      <c r="P4" s="5">
        <f>IFERROR(IF(VLOOKUP($O4,$B$2:$C$36,2,FALSE)=0,"",VLOOKUP($O4,$B$2:$C$36,2,FALSE)/VLOOKUP($O4,$B$2:$D$36,3,FALSE)),"")</f>
        <v>7.8279481566737447E-3</v>
      </c>
      <c r="R4">
        <v>3</v>
      </c>
      <c r="S4" s="3">
        <f t="shared" si="4"/>
        <v>-2.9281984531701426E-2</v>
      </c>
      <c r="T4">
        <f t="shared" si="5"/>
        <v>7</v>
      </c>
    </row>
    <row r="5" spans="1:20" x14ac:dyDescent="0.2">
      <c r="A5">
        <v>1</v>
      </c>
      <c r="B5" t="s">
        <v>40</v>
      </c>
      <c r="C5" s="5">
        <v>1.006944444444445E-2</v>
      </c>
      <c r="D5" s="2">
        <f>IF($B5="","",IFERROR(VLOOKUP($B5,'Sting in the tail'!$B$2:$M$36,10,FALSE),IF($C5="","",$C5/$P$5)))</f>
        <v>1.2761192219302528</v>
      </c>
      <c r="E5">
        <f>IF($B5="","",IFERROR(VLOOKUP($B5,'Sting in the tail'!$B$2:$M$36,11,FALSE),Control!$B$10))</f>
        <v>0</v>
      </c>
      <c r="F5">
        <f>IF($B5="","",IFERROR(VLOOKUP($B5,'Sting in the tail'!$B$2:$M$36,12,FALSE),0))</f>
        <v>0</v>
      </c>
      <c r="G5" s="5">
        <f t="shared" si="0"/>
        <v>9.9893951110048562E-3</v>
      </c>
      <c r="H5" s="3">
        <f>IF($D5="","",IF($C5="",Control!$B$9,MAX(MIN(($G5-$C5)/$G5,Control!$B$7),Control!$B$8)))</f>
        <v>-8.0134314991112347E-3</v>
      </c>
      <c r="I5" s="2">
        <f t="shared" si="1"/>
        <v>1.2863453158998901</v>
      </c>
      <c r="J5" s="2">
        <f>IF($D5="","",IF($E5&gt;0,Control!$B$6,Control!$B$5))</f>
        <v>0.33333333333333331</v>
      </c>
      <c r="K5" s="2">
        <f t="shared" si="2"/>
        <v>1.2795279199201319</v>
      </c>
      <c r="L5">
        <f>IF($B5="","",IF($C5="",IF($M5&gt;=Control!$B$11,Control!$B$10,$E5),MAX($E5-1,0)))</f>
        <v>0</v>
      </c>
      <c r="M5">
        <f t="shared" si="3"/>
        <v>0</v>
      </c>
      <c r="O5" s="1" t="s">
        <v>75</v>
      </c>
      <c r="P5" s="5">
        <f>MEDIAN(P2:P4)</f>
        <v>7.8279481566737447E-3</v>
      </c>
      <c r="R5">
        <v>4</v>
      </c>
      <c r="S5" s="3">
        <f t="shared" si="4"/>
        <v>1.6484048796621749E-2</v>
      </c>
      <c r="T5">
        <f t="shared" si="5"/>
        <v>1</v>
      </c>
    </row>
    <row r="6" spans="1:20" x14ac:dyDescent="0.2">
      <c r="A6">
        <v>2</v>
      </c>
      <c r="B6" t="s">
        <v>15</v>
      </c>
      <c r="C6" s="5">
        <v>7.3032407407407404E-3</v>
      </c>
      <c r="D6" s="2">
        <f>IF($B6="","",IFERROR(VLOOKUP($B6,'Sting in the tail'!$B$2:$M$36,10,FALSE),IF($C6="","",$C6/$P$5)))</f>
        <v>0.99328575903109961</v>
      </c>
      <c r="E6">
        <f>IF($B6="","",IFERROR(VLOOKUP($B6,'Sting in the tail'!$B$2:$M$36,11,FALSE),Control!$B$10))</f>
        <v>0</v>
      </c>
      <c r="F6">
        <f>IF($B6="","",IFERROR(VLOOKUP($B6,'Sting in the tail'!$B$2:$M$36,12,FALSE),0))</f>
        <v>0</v>
      </c>
      <c r="G6" s="5">
        <f t="shared" si="0"/>
        <v>7.7753894264577777E-3</v>
      </c>
      <c r="H6" s="3">
        <f>IF($D6="","",IF($C6="",Control!$B$9,MAX(MIN(($G6-$C6)/$G6,Control!$B$7),Control!$B$8)))</f>
        <v>0.05</v>
      </c>
      <c r="I6" s="2">
        <f t="shared" si="1"/>
        <v>0.93296999348601162</v>
      </c>
      <c r="J6" s="2">
        <f>IF($D6="","",IF($E6&gt;0,Control!$B$6,Control!$B$5))</f>
        <v>0.33333333333333331</v>
      </c>
      <c r="K6" s="2">
        <f t="shared" si="2"/>
        <v>0.97318050384940358</v>
      </c>
      <c r="L6">
        <f>IF($B6="","",IF($C6="",IF($M6&gt;=Control!$B$11,Control!$B$10,$E6),MAX($E6-1,0)))</f>
        <v>0</v>
      </c>
      <c r="M6">
        <f t="shared" si="3"/>
        <v>0</v>
      </c>
      <c r="R6">
        <v>5</v>
      </c>
      <c r="S6" s="3">
        <f t="shared" si="4"/>
        <v>-2.1528639284614265E-2</v>
      </c>
      <c r="T6">
        <f t="shared" si="5"/>
        <v>6</v>
      </c>
    </row>
    <row r="7" spans="1:20" x14ac:dyDescent="0.2">
      <c r="A7">
        <v>2</v>
      </c>
      <c r="B7" t="s">
        <v>41</v>
      </c>
      <c r="C7" s="5">
        <v>8.1712962962962963E-3</v>
      </c>
      <c r="D7" s="2">
        <f>IF($B7="","",IFERROR(VLOOKUP($B7,'Sting in the tail'!$B$2:$M$36,10,FALSE),IF($C7="","",$C7/$P$5)))</f>
        <v>1.0519191094492575</v>
      </c>
      <c r="E7">
        <f>IF($B7="","",IFERROR(VLOOKUP($B7,'Sting in the tail'!$B$2:$M$36,11,FALSE),Control!$B$10))</f>
        <v>0</v>
      </c>
      <c r="F7">
        <f>IF($B7="","",IFERROR(VLOOKUP($B7,'Sting in the tail'!$B$2:$M$36,12,FALSE),0))</f>
        <v>0</v>
      </c>
      <c r="G7" s="5">
        <f t="shared" si="0"/>
        <v>8.2343682537832016E-3</v>
      </c>
      <c r="H7" s="3">
        <f>IF($D7="","",IF($C7="",Control!$B$9,MAX(MIN(($G7-$C7)/$G7,Control!$B$7),Control!$B$8)))</f>
        <v>7.6595988353966972E-3</v>
      </c>
      <c r="I7" s="2">
        <f t="shared" si="1"/>
        <v>1.0438618310635883</v>
      </c>
      <c r="J7" s="2">
        <f>IF($D7="","",IF($E7&gt;0,Control!$B$6,Control!$B$5))</f>
        <v>0.33333333333333331</v>
      </c>
      <c r="K7" s="2">
        <f t="shared" si="2"/>
        <v>1.0492333499873678</v>
      </c>
      <c r="L7">
        <f>IF($B7="","",IF($C7="",IF($M7&gt;=Control!$B$11,Control!$B$10,$E7),MAX($E7-1,0)))</f>
        <v>0</v>
      </c>
      <c r="M7">
        <f t="shared" si="3"/>
        <v>0</v>
      </c>
      <c r="R7">
        <v>6</v>
      </c>
      <c r="S7" s="3">
        <f t="shared" si="4"/>
        <v>-1.3250832414519631E-3</v>
      </c>
      <c r="T7">
        <f t="shared" si="5"/>
        <v>3</v>
      </c>
    </row>
    <row r="8" spans="1:20" x14ac:dyDescent="0.2">
      <c r="A8">
        <v>2</v>
      </c>
      <c r="B8" t="s">
        <v>42</v>
      </c>
      <c r="C8" s="5">
        <v>8.6921296296296295E-3</v>
      </c>
      <c r="D8" s="2">
        <f>IF($B8="","",IFERROR(VLOOKUP($B8,'Sting in the tail'!$B$2:$M$36,10,FALSE),IF($C8="","",$C8/$P$5)))</f>
        <v>1.1306342719739777</v>
      </c>
      <c r="E8">
        <f>IF($B8="","",IFERROR(VLOOKUP($B8,'Sting in the tail'!$B$2:$M$36,11,FALSE),Control!$B$10))</f>
        <v>0</v>
      </c>
      <c r="F8">
        <f>IF($B8="","",IFERROR(VLOOKUP($B8,'Sting in the tail'!$B$2:$M$36,12,FALSE),0))</f>
        <v>0</v>
      </c>
      <c r="G8" s="5">
        <f t="shared" si="0"/>
        <v>8.8505464651708592E-3</v>
      </c>
      <c r="H8" s="3">
        <f>IF($D8="","",IF($C8="",Control!$B$9,MAX(MIN(($G8-$C8)/$G8,Control!$B$7),Control!$B$8)))</f>
        <v>1.7899102181389598E-2</v>
      </c>
      <c r="I8" s="2">
        <f t="shared" si="1"/>
        <v>1.1103969336101343</v>
      </c>
      <c r="J8" s="2">
        <f>IF($D8="","",IF($E8&gt;0,Control!$B$6,Control!$B$5))</f>
        <v>0.33333333333333331</v>
      </c>
      <c r="K8" s="2">
        <f t="shared" si="2"/>
        <v>1.1238884925193633</v>
      </c>
      <c r="L8">
        <f>IF($B8="","",IF($C8="",IF($M8&gt;=Control!$B$11,Control!$B$10,$E8),MAX($E8-1,0)))</f>
        <v>0</v>
      </c>
      <c r="M8">
        <f t="shared" si="3"/>
        <v>0</v>
      </c>
      <c r="R8">
        <v>7</v>
      </c>
      <c r="S8" s="3">
        <f t="shared" si="4"/>
        <v>-1.4527594453950193E-2</v>
      </c>
      <c r="T8">
        <f t="shared" si="5"/>
        <v>4</v>
      </c>
    </row>
    <row r="9" spans="1:20" x14ac:dyDescent="0.2">
      <c r="A9">
        <v>2</v>
      </c>
      <c r="B9" t="s">
        <v>43</v>
      </c>
      <c r="C9" s="5">
        <v>1.0324074074074071E-2</v>
      </c>
      <c r="D9" s="2">
        <f>IF($B9="","",IFERROR(VLOOKUP($B9,'Sting in the tail'!$B$2:$M$36,10,FALSE),IF($C9="","",$C9/$P$5)))</f>
        <v>1.275330035698484</v>
      </c>
      <c r="E9">
        <f>IF($B9="","",IFERROR(VLOOKUP($B9,'Sting in the tail'!$B$2:$M$36,11,FALSE),Control!$B$10))</f>
        <v>0</v>
      </c>
      <c r="F9">
        <f>IF($B9="","",IFERROR(VLOOKUP($B9,'Sting in the tail'!$B$2:$M$36,12,FALSE),0))</f>
        <v>0</v>
      </c>
      <c r="G9" s="5">
        <f t="shared" si="0"/>
        <v>9.9832174020966086E-3</v>
      </c>
      <c r="H9" s="3">
        <f>IF($D9="","",IF($C9="",Control!$B$9,MAX(MIN(($G9-$C9)/$G9,Control!$B$7),Control!$B$8)))</f>
        <v>-3.4142967968009752E-2</v>
      </c>
      <c r="I9" s="2">
        <f t="shared" si="1"/>
        <v>1.3188735882559781</v>
      </c>
      <c r="J9" s="2">
        <f>IF($D9="","",IF($E9&gt;0,Control!$B$6,Control!$B$5))</f>
        <v>0.33333333333333331</v>
      </c>
      <c r="K9" s="2">
        <f t="shared" si="2"/>
        <v>1.2898445532176488</v>
      </c>
      <c r="L9">
        <f>IF($B9="","",IF($C9="",IF($M9&gt;=Control!$B$11,Control!$B$10,$E9),MAX($E9-1,0)))</f>
        <v>0</v>
      </c>
      <c r="M9">
        <f t="shared" si="3"/>
        <v>0</v>
      </c>
    </row>
    <row r="10" spans="1:20" x14ac:dyDescent="0.2">
      <c r="A10">
        <v>3</v>
      </c>
      <c r="B10" t="s">
        <v>45</v>
      </c>
      <c r="C10" s="5">
        <v>9.9305555555555553E-3</v>
      </c>
      <c r="D10" s="2">
        <f>IF($B10="","",IFERROR(VLOOKUP($B10,'Sting in the tail'!$B$2:$M$36,10,FALSE),IF($C10="","",$C10/$P$5)))</f>
        <v>1.2088273229897886</v>
      </c>
      <c r="E10">
        <f>IF($B10="","",IFERROR(VLOOKUP($B10,'Sting in the tail'!$B$2:$M$36,11,FALSE),Control!$B$10))</f>
        <v>0</v>
      </c>
      <c r="F10">
        <f>IF($B10="","",IFERROR(VLOOKUP($B10,'Sting in the tail'!$B$2:$M$36,12,FALSE),0))</f>
        <v>0</v>
      </c>
      <c r="G10" s="5">
        <f t="shared" si="0"/>
        <v>9.4626376147347729E-3</v>
      </c>
      <c r="H10" s="3">
        <f>IF($D10="","",IF($C10="",Control!$B$9,MAX(MIN(($G10-$C10)/$G10,Control!$B$7),Control!$B$8)))</f>
        <v>-4.9448997189976147E-2</v>
      </c>
      <c r="I10" s="2">
        <f t="shared" si="1"/>
        <v>1.2686026218874771</v>
      </c>
      <c r="J10" s="2">
        <f>IF($D10="","",IF($E10&gt;0,Control!$B$6,Control!$B$5))</f>
        <v>0.33333333333333331</v>
      </c>
      <c r="K10" s="2">
        <f t="shared" si="2"/>
        <v>1.2287524226223514</v>
      </c>
      <c r="L10">
        <f>IF($B10="","",IF($C10="",IF($M10&gt;=Control!$B$11,Control!$B$10,$E10),MAX($E10-1,0)))</f>
        <v>0</v>
      </c>
      <c r="M10">
        <f t="shared" si="3"/>
        <v>0</v>
      </c>
    </row>
    <row r="11" spans="1:20" x14ac:dyDescent="0.2">
      <c r="A11">
        <v>3</v>
      </c>
      <c r="B11" t="s">
        <v>44</v>
      </c>
      <c r="C11" s="5">
        <v>1.0115740740740739E-2</v>
      </c>
      <c r="D11" s="2">
        <f>IF($B11="","",IFERROR(VLOOKUP($B11,'Sting in the tail'!$B$2:$M$36,10,FALSE),IF($C11="","",$C11/$P$5)))</f>
        <v>1.1232343440777028</v>
      </c>
      <c r="E11">
        <f>IF($B11="","",IFERROR(VLOOKUP($B11,'Sting in the tail'!$B$2:$M$36,11,FALSE),Control!$B$10))</f>
        <v>0</v>
      </c>
      <c r="F11">
        <f>IF($B11="","",IFERROR(VLOOKUP($B11,'Sting in the tail'!$B$2:$M$36,12,FALSE),0))</f>
        <v>0</v>
      </c>
      <c r="G11" s="5">
        <f t="shared" si="0"/>
        <v>8.7926202132356975E-3</v>
      </c>
      <c r="H11" s="3">
        <f>IF($D11="","",IF($C11="",Control!$B$9,MAX(MIN(($G11-$C11)/$G11,Control!$B$7),Control!$B$8)))</f>
        <v>-0.05</v>
      </c>
      <c r="I11" s="2">
        <f t="shared" si="1"/>
        <v>1.2922595472373599</v>
      </c>
      <c r="J11" s="2">
        <f>IF($D11="","",IF($E11&gt;0,Control!$B$6,Control!$B$5))</f>
        <v>0.33333333333333331</v>
      </c>
      <c r="K11" s="2">
        <f t="shared" si="2"/>
        <v>1.1795760784642553</v>
      </c>
      <c r="L11">
        <f>IF($B11="","",IF($C11="",IF($M11&gt;=Control!$B$11,Control!$B$10,$E11),MAX($E11-1,0)))</f>
        <v>0</v>
      </c>
      <c r="M11">
        <f t="shared" si="3"/>
        <v>0</v>
      </c>
    </row>
    <row r="12" spans="1:20" x14ac:dyDescent="0.2">
      <c r="A12">
        <v>3</v>
      </c>
      <c r="B12" t="s">
        <v>46</v>
      </c>
      <c r="C12" s="5">
        <v>1.0405092592592591E-2</v>
      </c>
      <c r="D12" s="2">
        <f>IF($B12="","",IFERROR(VLOOKUP($B12,'Sting in the tail'!$B$2:$M$36,10,FALSE),IF($C12="","",$C12/$P$5)))</f>
        <v>1.344827586206897</v>
      </c>
      <c r="E12">
        <f>IF($B12="","",IFERROR(VLOOKUP($B12,'Sting in the tail'!$B$2:$M$36,11,FALSE),Control!$B$10))</f>
        <v>0</v>
      </c>
      <c r="F12">
        <f>IF($B12="","",IFERROR(VLOOKUP($B12,'Sting in the tail'!$B$2:$M$36,12,FALSE),0))</f>
        <v>1</v>
      </c>
      <c r="G12" s="5">
        <f t="shared" si="0"/>
        <v>1.0527240624492281E-2</v>
      </c>
      <c r="H12" s="3">
        <f>IF($D12="","",IF($C12="",Control!$B$9,MAX(MIN(($G12-$C12)/$G12,Control!$B$7),Control!$B$8)))</f>
        <v>1.1603043594871881E-2</v>
      </c>
      <c r="I12" s="2">
        <f t="shared" si="1"/>
        <v>1.3292234930965521</v>
      </c>
      <c r="J12" s="2">
        <f>IF($D12="","",IF($E12&gt;0,Control!$B$6,Control!$B$5))</f>
        <v>0.33333333333333331</v>
      </c>
      <c r="K12" s="2">
        <f t="shared" si="2"/>
        <v>1.339626221836782</v>
      </c>
      <c r="L12">
        <f>IF($B12="","",IF($C12="",IF($M12&gt;=Control!$B$11,Control!$B$10,$E12),MAX($E12-1,0)))</f>
        <v>0</v>
      </c>
      <c r="M12">
        <f t="shared" si="3"/>
        <v>0</v>
      </c>
    </row>
    <row r="13" spans="1:20" x14ac:dyDescent="0.2">
      <c r="A13">
        <v>4</v>
      </c>
      <c r="B13" t="s">
        <v>47</v>
      </c>
      <c r="C13" s="5">
        <v>1.005787037037037E-2</v>
      </c>
      <c r="D13" s="2">
        <f>IF($B13="","",IFERROR(VLOOKUP($B13,'Sting in the tail'!$B$2:$M$36,10,FALSE),IF($C13="","",$C13/$P$5)))</f>
        <v>1.2297962174396437</v>
      </c>
      <c r="E13">
        <f>IF($B13="","",IFERROR(VLOOKUP($B13,'Sting in the tail'!$B$2:$M$36,11,FALSE),Control!$B$10))</f>
        <v>0</v>
      </c>
      <c r="F13">
        <f>IF($B13="","",IFERROR(VLOOKUP($B13,'Sting in the tail'!$B$2:$M$36,12,FALSE),0))</f>
        <v>0</v>
      </c>
      <c r="G13" s="5">
        <f t="shared" si="0"/>
        <v>9.6267810333910027E-3</v>
      </c>
      <c r="H13" s="3">
        <f>IF($D13="","",IF($C13="",Control!$B$9,MAX(MIN(($G13-$C13)/$G13,Control!$B$7),Control!$B$8)))</f>
        <v>-4.4780216303259707E-2</v>
      </c>
      <c r="I13" s="2">
        <f t="shared" si="1"/>
        <v>1.2848667580655215</v>
      </c>
      <c r="J13" s="2">
        <f>IF($D13="","",IF($E13&gt;0,Control!$B$6,Control!$B$5))</f>
        <v>0.33333333333333331</v>
      </c>
      <c r="K13" s="2">
        <f t="shared" si="2"/>
        <v>1.2481530643149363</v>
      </c>
      <c r="L13">
        <f>IF($B13="","",IF($C13="",IF($M13&gt;=Control!$B$11,Control!$B$10,$E13),MAX($E13-1,0)))</f>
        <v>0</v>
      </c>
      <c r="M13">
        <f t="shared" si="3"/>
        <v>0</v>
      </c>
    </row>
    <row r="14" spans="1:20" x14ac:dyDescent="0.2">
      <c r="A14">
        <v>4</v>
      </c>
      <c r="B14" t="s">
        <v>48</v>
      </c>
      <c r="C14" s="5">
        <v>1.217592592592593E-2</v>
      </c>
      <c r="D14" s="2">
        <f>IF($B14="","",IFERROR(VLOOKUP($B14,'Sting in the tail'!$B$2:$M$36,10,FALSE),IF($C14="","",$C14/$P$5)))</f>
        <v>1.6124276993009929</v>
      </c>
      <c r="E14">
        <f>IF($B14="","",IFERROR(VLOOKUP($B14,'Sting in the tail'!$B$2:$M$36,11,FALSE),Control!$B$10))</f>
        <v>0</v>
      </c>
      <c r="F14">
        <f>IF($B14="","",IFERROR(VLOOKUP($B14,'Sting in the tail'!$B$2:$M$36,12,FALSE),0))</f>
        <v>0</v>
      </c>
      <c r="G14" s="5">
        <f t="shared" si="0"/>
        <v>1.2622000436512895E-2</v>
      </c>
      <c r="H14" s="3">
        <f>IF($D14="","",IF($C14="",Control!$B$9,MAX(MIN(($G14-$C14)/$G14,Control!$B$7),Control!$B$8)))</f>
        <v>3.5341031148799613E-2</v>
      </c>
      <c r="I14" s="2">
        <f t="shared" si="1"/>
        <v>1.5554428417548092</v>
      </c>
      <c r="J14" s="2">
        <f>IF($D14="","",IF($E14&gt;0,Control!$B$6,Control!$B$5))</f>
        <v>0.33333333333333331</v>
      </c>
      <c r="K14" s="2">
        <f t="shared" si="2"/>
        <v>1.5934327467855984</v>
      </c>
      <c r="L14">
        <f>IF($B14="","",IF($C14="",IF($M14&gt;=Control!$B$11,Control!$B$10,$E14),MAX($E14-1,0)))</f>
        <v>0</v>
      </c>
      <c r="M14">
        <f t="shared" si="3"/>
        <v>0</v>
      </c>
    </row>
    <row r="15" spans="1:20" x14ac:dyDescent="0.2">
      <c r="A15">
        <v>4</v>
      </c>
      <c r="B15" t="s">
        <v>50</v>
      </c>
      <c r="C15" s="5">
        <v>1.217592592592593E-2</v>
      </c>
      <c r="D15" s="2">
        <f>IF($B15="","",IFERROR(VLOOKUP($B15,'Sting in the tail'!$B$2:$M$36,10,FALSE),IF($C15="","",$C15/$P$5)))</f>
        <v>1.652660848617493</v>
      </c>
      <c r="E15">
        <f>IF($B15="","",IFERROR(VLOOKUP($B15,'Sting in the tail'!$B$2:$M$36,11,FALSE),Control!$B$10))</f>
        <v>0</v>
      </c>
      <c r="F15">
        <f>IF($B15="","",IFERROR(VLOOKUP($B15,'Sting in the tail'!$B$2:$M$36,12,FALSE),0))</f>
        <v>0</v>
      </c>
      <c r="G15" s="5">
        <f t="shared" si="0"/>
        <v>1.2936943443542171E-2</v>
      </c>
      <c r="H15" s="3">
        <f>IF($D15="","",IF($C15="",Control!$B$9,MAX(MIN(($G15-$C15)/$G15,Control!$B$7),Control!$B$8)))</f>
        <v>0.05</v>
      </c>
      <c r="I15" s="2">
        <f t="shared" si="1"/>
        <v>1.5554428417548092</v>
      </c>
      <c r="J15" s="2">
        <f>IF($D15="","",IF($E15&gt;0,Control!$B$6,Control!$B$5))</f>
        <v>0.33333333333333331</v>
      </c>
      <c r="K15" s="2">
        <f t="shared" si="2"/>
        <v>1.6202548463299318</v>
      </c>
      <c r="L15">
        <f>IF($B15="","",IF($C15="",IF($M15&gt;=Control!$B$11,Control!$B$10,$E15),MAX($E15-1,0)))</f>
        <v>0</v>
      </c>
      <c r="M15">
        <f t="shared" si="3"/>
        <v>0</v>
      </c>
    </row>
    <row r="16" spans="1:20" x14ac:dyDescent="0.2">
      <c r="A16">
        <v>4</v>
      </c>
      <c r="B16" t="s">
        <v>49</v>
      </c>
      <c r="C16" s="5">
        <v>1.2349537037037041E-2</v>
      </c>
      <c r="D16" s="2">
        <f>IF($B16="","",IFERROR(VLOOKUP($B16,'Sting in the tail'!$B$2:$M$36,10,FALSE),IF($C16="","",$C16/$P$5)))</f>
        <v>1.6186962420692945</v>
      </c>
      <c r="E16">
        <f>IF($B16="","",IFERROR(VLOOKUP($B16,'Sting in the tail'!$B$2:$M$36,11,FALSE),Control!$B$10))</f>
        <v>0</v>
      </c>
      <c r="F16">
        <f>IF($B16="","",IFERROR(VLOOKUP($B16,'Sting in the tail'!$B$2:$M$36,12,FALSE),0))</f>
        <v>0</v>
      </c>
      <c r="G16" s="5">
        <f t="shared" si="0"/>
        <v>1.2671070264321052E-2</v>
      </c>
      <c r="H16" s="3">
        <f>IF($D16="","",IF($C16="",Control!$B$9,MAX(MIN(($G16-$C16)/$G16,Control!$B$7),Control!$B$8)))</f>
        <v>2.5375380340947086E-2</v>
      </c>
      <c r="I16" s="2">
        <f t="shared" si="1"/>
        <v>1.5776212092703246</v>
      </c>
      <c r="J16" s="2">
        <f>IF($D16="","",IF($E16&gt;0,Control!$B$6,Control!$B$5))</f>
        <v>0.33333333333333331</v>
      </c>
      <c r="K16" s="2">
        <f t="shared" si="2"/>
        <v>1.6050045644696378</v>
      </c>
      <c r="L16">
        <f>IF($B16="","",IF($C16="",IF($M16&gt;=Control!$B$11,Control!$B$10,$E16),MAX($E16-1,0)))</f>
        <v>0</v>
      </c>
      <c r="M16">
        <f t="shared" si="3"/>
        <v>0</v>
      </c>
    </row>
    <row r="17" spans="1:13" x14ac:dyDescent="0.2">
      <c r="A17">
        <v>5</v>
      </c>
      <c r="B17" t="s">
        <v>51</v>
      </c>
      <c r="C17" s="5">
        <v>8.4027777777777781E-3</v>
      </c>
      <c r="D17" s="2">
        <f>IF($B17="","",IFERROR(VLOOKUP($B17,'Sting in the tail'!$B$2:$M$36,10,FALSE),IF($C17="","",$C17/$P$5)))</f>
        <v>1.1104023334964939</v>
      </c>
      <c r="E17">
        <f>IF($B17="","",IFERROR(VLOOKUP($B17,'Sting in the tail'!$B$2:$M$36,11,FALSE),Control!$B$10))</f>
        <v>0</v>
      </c>
      <c r="F17">
        <f>IF($B17="","",IFERROR(VLOOKUP($B17,'Sting in the tail'!$B$2:$M$36,12,FALSE),0))</f>
        <v>0</v>
      </c>
      <c r="G17" s="5">
        <f t="shared" si="0"/>
        <v>8.6921718996601036E-3</v>
      </c>
      <c r="H17" s="3">
        <f>IF($D17="","",IF($C17="",Control!$B$9,MAX(MIN(($G17-$C17)/$G17,Control!$B$7),Control!$B$8)))</f>
        <v>3.3293649184922572E-2</v>
      </c>
      <c r="I17" s="2">
        <f t="shared" si="1"/>
        <v>1.0734329877509421</v>
      </c>
      <c r="J17" s="2">
        <f>IF($D17="","",IF($E17&gt;0,Control!$B$6,Control!$B$5))</f>
        <v>0.33333333333333331</v>
      </c>
      <c r="K17" s="2">
        <f t="shared" si="2"/>
        <v>1.0980792182479766</v>
      </c>
      <c r="L17">
        <f>IF($B17="","",IF($C17="",IF($M17&gt;=Control!$B$11,Control!$B$10,$E17),MAX($E17-1,0)))</f>
        <v>0</v>
      </c>
      <c r="M17">
        <f t="shared" si="3"/>
        <v>0</v>
      </c>
    </row>
    <row r="18" spans="1:13" x14ac:dyDescent="0.2">
      <c r="A18">
        <v>5</v>
      </c>
      <c r="B18" t="s">
        <v>52</v>
      </c>
      <c r="C18" s="5">
        <v>1.1666666666666671E-2</v>
      </c>
      <c r="D18" s="2">
        <f>IF($B18="","",IFERROR(VLOOKUP($B18,'Sting in the tail'!$B$2:$M$36,10,FALSE),IF($C18="","",$C18/$P$5)))</f>
        <v>1.3740192332823</v>
      </c>
      <c r="E18">
        <f>IF($B18="","",IFERROR(VLOOKUP($B18,'Sting in the tail'!$B$2:$M$36,11,FALSE),Control!$B$10))</f>
        <v>0</v>
      </c>
      <c r="F18">
        <f>IF($B18="","",IFERROR(VLOOKUP($B18,'Sting in the tail'!$B$2:$M$36,12,FALSE),0))</f>
        <v>0</v>
      </c>
      <c r="G18" s="5">
        <f t="shared" si="0"/>
        <v>1.0755751324406452E-2</v>
      </c>
      <c r="H18" s="3">
        <f>IF($D18="","",IF($C18="",Control!$B$9,MAX(MIN(($G18-$C18)/$G18,Control!$B$7),Control!$B$8)))</f>
        <v>-0.05</v>
      </c>
      <c r="I18" s="2">
        <f t="shared" si="1"/>
        <v>1.4903862970426309</v>
      </c>
      <c r="J18" s="2">
        <f>IF($D18="","",IF($E18&gt;0,Control!$B$6,Control!$B$5))</f>
        <v>0.33333333333333331</v>
      </c>
      <c r="K18" s="2">
        <f t="shared" si="2"/>
        <v>1.4128082545357437</v>
      </c>
      <c r="L18">
        <f>IF($B18="","",IF($C18="",IF($M18&gt;=Control!$B$11,Control!$B$10,$E18),MAX($E18-1,0)))</f>
        <v>0</v>
      </c>
      <c r="M18">
        <f t="shared" si="3"/>
        <v>0</v>
      </c>
    </row>
    <row r="19" spans="1:13" x14ac:dyDescent="0.2">
      <c r="A19">
        <v>5</v>
      </c>
      <c r="B19" t="s">
        <v>53</v>
      </c>
      <c r="C19" s="5">
        <v>1.1678240740740741E-2</v>
      </c>
      <c r="D19" s="2">
        <f>IF($B19="","",IFERROR(VLOOKUP($B19,'Sting in the tail'!$B$2:$M$36,10,FALSE),IF($C19="","",$C19/$P$5)))</f>
        <v>1.4503767306667212</v>
      </c>
      <c r="E19">
        <f>IF($B19="","",IFERROR(VLOOKUP($B19,'Sting in the tail'!$B$2:$M$36,11,FALSE),Control!$B$10))</f>
        <v>0</v>
      </c>
      <c r="F19">
        <f>IF($B19="","",IFERROR(VLOOKUP($B19,'Sting in the tail'!$B$2:$M$36,12,FALSE),0))</f>
        <v>0</v>
      </c>
      <c r="G19" s="5">
        <f t="shared" si="0"/>
        <v>1.1353473855305054E-2</v>
      </c>
      <c r="H19" s="3">
        <f>IF($D19="","",IF($C19="",Control!$B$9,MAX(MIN(($G19-$C19)/$G19,Control!$B$7),Control!$B$8)))</f>
        <v>-2.8605067451133979E-2</v>
      </c>
      <c r="I19" s="2">
        <f t="shared" si="1"/>
        <v>1.4918648548769982</v>
      </c>
      <c r="J19" s="2">
        <f>IF($D19="","",IF($E19&gt;0,Control!$B$6,Control!$B$5))</f>
        <v>0.33333333333333331</v>
      </c>
      <c r="K19" s="2">
        <f t="shared" si="2"/>
        <v>1.4642061054034803</v>
      </c>
      <c r="L19">
        <f>IF($B19="","",IF($C19="",IF($M19&gt;=Control!$B$11,Control!$B$10,$E19),MAX($E19-1,0)))</f>
        <v>0</v>
      </c>
      <c r="M19">
        <f t="shared" si="3"/>
        <v>0</v>
      </c>
    </row>
    <row r="20" spans="1:13" x14ac:dyDescent="0.2">
      <c r="A20">
        <v>5</v>
      </c>
      <c r="B20" t="s">
        <v>54</v>
      </c>
      <c r="C20" s="5">
        <v>1.361111111111111E-2</v>
      </c>
      <c r="D20" s="2">
        <f>IF($B20="","",IFERROR(VLOOKUP($B20,'Sting in the tail'!$B$2:$M$36,10,FALSE),IF($C20="","",$C20/$P$5)))</f>
        <v>1.6706175724070627</v>
      </c>
      <c r="E20">
        <f>IF($B20="","",IFERROR(VLOOKUP($B20,'Sting in the tail'!$B$2:$M$36,11,FALSE),Control!$B$10))</f>
        <v>0</v>
      </c>
      <c r="F20">
        <f>IF($B20="","",IFERROR(VLOOKUP($B20,'Sting in the tail'!$B$2:$M$36,12,FALSE),0))</f>
        <v>0</v>
      </c>
      <c r="G20" s="5">
        <f t="shared" si="0"/>
        <v>1.3077507746430633E-2</v>
      </c>
      <c r="H20" s="3">
        <f>IF($D20="","",IF($C20="",Control!$B$9,MAX(MIN(($G20-$C20)/$G20,Control!$B$7),Control!$B$8)))</f>
        <v>-4.0803138872245646E-2</v>
      </c>
      <c r="I20" s="2">
        <f t="shared" si="1"/>
        <v>1.7387840132164021</v>
      </c>
      <c r="J20" s="2">
        <f>IF($D20="","",IF($E20&gt;0,Control!$B$6,Control!$B$5))</f>
        <v>0.33333333333333331</v>
      </c>
      <c r="K20" s="2">
        <f t="shared" si="2"/>
        <v>1.6933397193435091</v>
      </c>
      <c r="L20">
        <f>IF($B20="","",IF($C20="",IF($M20&gt;=Control!$B$11,Control!$B$10,$E20),MAX($E20-1,0)))</f>
        <v>0</v>
      </c>
      <c r="M20">
        <f t="shared" si="3"/>
        <v>0</v>
      </c>
    </row>
    <row r="21" spans="1:13" x14ac:dyDescent="0.2">
      <c r="A21">
        <v>6</v>
      </c>
      <c r="B21" t="s">
        <v>56</v>
      </c>
      <c r="C21" s="5">
        <v>1.0937499999999999E-2</v>
      </c>
      <c r="D21" s="2">
        <f>IF($B21="","",IFERROR(VLOOKUP($B21,'Sting in the tail'!$B$2:$M$36,10,FALSE),IF($C21="","",$C21/$P$5)))</f>
        <v>1.3856668254184432</v>
      </c>
      <c r="E21">
        <f>IF($B21="","",IFERROR(VLOOKUP($B21,'Sting in the tail'!$B$2:$M$36,11,FALSE),Control!$B$10))</f>
        <v>0</v>
      </c>
      <c r="F21">
        <f>IF($B21="","",IFERROR(VLOOKUP($B21,'Sting in the tail'!$B$2:$M$36,12,FALSE),0))</f>
        <v>0</v>
      </c>
      <c r="G21" s="5">
        <f t="shared" si="0"/>
        <v>1.0846928071798262E-2</v>
      </c>
      <c r="H21" s="3">
        <f>IF($D21="","",IF($C21="",Control!$B$9,MAX(MIN(($G21-$C21)/$G21,Control!$B$7),Control!$B$8)))</f>
        <v>-8.3500072649344628E-3</v>
      </c>
      <c r="I21" s="2">
        <f t="shared" si="1"/>
        <v>1.3972371534774659</v>
      </c>
      <c r="J21" s="2">
        <f>IF($D21="","",IF($E21&gt;0,Control!$B$6,Control!$B$5))</f>
        <v>0.33333333333333331</v>
      </c>
      <c r="K21" s="2">
        <f t="shared" si="2"/>
        <v>1.3895236014381174</v>
      </c>
      <c r="L21">
        <f>IF($B21="","",IF($C21="",IF($M21&gt;=Control!$B$11,Control!$B$10,$E21),MAX($E21-1,0)))</f>
        <v>0</v>
      </c>
      <c r="M21">
        <f t="shared" si="3"/>
        <v>0</v>
      </c>
    </row>
    <row r="22" spans="1:13" x14ac:dyDescent="0.2">
      <c r="A22">
        <v>6</v>
      </c>
      <c r="B22" t="s">
        <v>55</v>
      </c>
      <c r="C22" s="5">
        <v>1.1064814814814821E-2</v>
      </c>
      <c r="D22" s="2">
        <f>IF($B22="","",IFERROR(VLOOKUP($B22,'Sting in the tail'!$B$2:$M$36,10,FALSE),IF($C22="","",$C22/$P$5)))</f>
        <v>1.3801925711828997</v>
      </c>
      <c r="E22">
        <f>IF($B22="","",IFERROR(VLOOKUP($B22,'Sting in the tail'!$B$2:$M$36,11,FALSE),Control!$B$10))</f>
        <v>0</v>
      </c>
      <c r="F22">
        <f>IF($B22="","",IFERROR(VLOOKUP($B22,'Sting in the tail'!$B$2:$M$36,12,FALSE),0))</f>
        <v>0</v>
      </c>
      <c r="G22" s="5">
        <f t="shared" si="0"/>
        <v>1.0804075893445977E-2</v>
      </c>
      <c r="H22" s="3">
        <f>IF($D22="","",IF($C22="",Control!$B$9,MAX(MIN(($G22-$C22)/$G22,Control!$B$7),Control!$B$8)))</f>
        <v>-2.4133384839235977E-2</v>
      </c>
      <c r="I22" s="2">
        <f t="shared" si="1"/>
        <v>1.4135012896555113</v>
      </c>
      <c r="J22" s="2">
        <f>IF($D22="","",IF($E22&gt;0,Control!$B$6,Control!$B$5))</f>
        <v>0.33333333333333331</v>
      </c>
      <c r="K22" s="2">
        <f t="shared" si="2"/>
        <v>1.3912954773404369</v>
      </c>
      <c r="L22">
        <f>IF($B22="","",IF($C22="",IF($M22&gt;=Control!$B$11,Control!$B$10,$E22),MAX($E22-1,0)))</f>
        <v>0</v>
      </c>
      <c r="M22">
        <f t="shared" si="3"/>
        <v>0</v>
      </c>
    </row>
    <row r="23" spans="1:13" x14ac:dyDescent="0.2">
      <c r="A23">
        <v>6</v>
      </c>
      <c r="B23" t="s">
        <v>57</v>
      </c>
      <c r="C23" s="5">
        <v>1.193287037037037E-2</v>
      </c>
      <c r="D23" s="2">
        <f>IF($B23="","",IFERROR(VLOOKUP($B23,'Sting in the tail'!$B$2:$M$36,10,FALSE),IF($C23="","",$C23/$P$5)))</f>
        <v>1.576751663820297</v>
      </c>
      <c r="E23">
        <f>IF($B23="","",IFERROR(VLOOKUP($B23,'Sting in the tail'!$B$2:$M$36,11,FALSE),Control!$B$10))</f>
        <v>0</v>
      </c>
      <c r="F23">
        <f>IF($B23="","",IFERROR(VLOOKUP($B23,'Sting in the tail'!$B$2:$M$36,12,FALSE),0))</f>
        <v>0</v>
      </c>
      <c r="G23" s="5">
        <f t="shared" si="0"/>
        <v>1.2342730280334354E-2</v>
      </c>
      <c r="H23" s="3">
        <f>IF($D23="","",IF($C23="",Control!$B$9,MAX(MIN(($G23-$C23)/$G23,Control!$B$7),Control!$B$8)))</f>
        <v>3.3206584009780521E-2</v>
      </c>
      <c r="I23" s="2">
        <f t="shared" si="1"/>
        <v>1.5243931272330871</v>
      </c>
      <c r="J23" s="2">
        <f>IF($D23="","",IF($E23&gt;0,Control!$B$6,Control!$B$5))</f>
        <v>0.33333333333333331</v>
      </c>
      <c r="K23" s="2">
        <f t="shared" si="2"/>
        <v>1.5592988182912271</v>
      </c>
      <c r="L23">
        <f>IF($B23="","",IF($C23="",IF($M23&gt;=Control!$B$11,Control!$B$10,$E23),MAX($E23-1,0)))</f>
        <v>0</v>
      </c>
      <c r="M23">
        <f t="shared" si="3"/>
        <v>0</v>
      </c>
    </row>
    <row r="24" spans="1:13" x14ac:dyDescent="0.2">
      <c r="A24">
        <v>6</v>
      </c>
      <c r="B24" t="s">
        <v>59</v>
      </c>
      <c r="C24" s="5">
        <v>1.328703703703704E-2</v>
      </c>
      <c r="D24" s="2">
        <f>IF($B24="","",IFERROR(VLOOKUP($B24,'Sting in the tail'!$B$2:$M$36,10,FALSE),IF($C24="","",$C24/$P$5)))</f>
        <v>1.7730055483132725</v>
      </c>
      <c r="E24">
        <f>IF($B24="","",IFERROR(VLOOKUP($B24,'Sting in the tail'!$B$2:$M$36,11,FALSE),Control!$B$10))</f>
        <v>0</v>
      </c>
      <c r="F24">
        <f>IF($B24="","",IFERROR(VLOOKUP($B24,'Sting in the tail'!$B$2:$M$36,12,FALSE),0))</f>
        <v>0</v>
      </c>
      <c r="G24" s="5">
        <f t="shared" si="0"/>
        <v>1.3878995513691204E-2</v>
      </c>
      <c r="H24" s="3">
        <f>IF($D24="","",IF($C24="",Control!$B$9,MAX(MIN(($G24-$C24)/$G24,Control!$B$7),Control!$B$8)))</f>
        <v>4.2651391887130102E-2</v>
      </c>
      <c r="I24" s="2">
        <f t="shared" si="1"/>
        <v>1.6973843938541071</v>
      </c>
      <c r="J24" s="2">
        <f>IF($D24="","",IF($E24&gt;0,Control!$B$6,Control!$B$5))</f>
        <v>0.33333333333333331</v>
      </c>
      <c r="K24" s="2">
        <f t="shared" si="2"/>
        <v>1.747798496826884</v>
      </c>
      <c r="L24">
        <f>IF($B24="","",IF($C24="",IF($M24&gt;=Control!$B$11,Control!$B$10,$E24),MAX($E24-1,0)))</f>
        <v>0</v>
      </c>
      <c r="M24">
        <f t="shared" si="3"/>
        <v>0</v>
      </c>
    </row>
    <row r="25" spans="1:13" x14ac:dyDescent="0.2">
      <c r="A25">
        <v>6</v>
      </c>
      <c r="B25" t="s">
        <v>58</v>
      </c>
      <c r="C25" s="5">
        <v>1.480324074074074E-2</v>
      </c>
      <c r="D25" s="2">
        <f>IF($B25="","",IFERROR(VLOOKUP($B25,'Sting in the tail'!$B$2:$M$36,10,FALSE),IF($C25="","",$C25/$P$5)))</f>
        <v>1.7236490832862417</v>
      </c>
      <c r="E25">
        <f>IF($B25="","",IFERROR(VLOOKUP($B25,'Sting in the tail'!$B$2:$M$36,11,FALSE),Control!$B$10))</f>
        <v>0</v>
      </c>
      <c r="F25">
        <f>IF($B25="","",IFERROR(VLOOKUP($B25,'Sting in the tail'!$B$2:$M$36,12,FALSE),0))</f>
        <v>0</v>
      </c>
      <c r="G25" s="5">
        <f t="shared" si="0"/>
        <v>1.3492635664262925E-2</v>
      </c>
      <c r="H25" s="3">
        <f>IF($D25="","",IF($C25="",Control!$B$9,MAX(MIN(($G25-$C25)/$G25,Control!$B$7),Control!$B$8)))</f>
        <v>-0.05</v>
      </c>
      <c r="I25" s="2">
        <f t="shared" si="1"/>
        <v>1.891075470156274</v>
      </c>
      <c r="J25" s="2">
        <f>IF($D25="","",IF($E25&gt;0,Control!$B$6,Control!$B$5))</f>
        <v>0.33333333333333331</v>
      </c>
      <c r="K25" s="2">
        <f t="shared" si="2"/>
        <v>1.7794578789095858</v>
      </c>
      <c r="L25">
        <f>IF($B25="","",IF($C25="",IF($M25&gt;=Control!$B$11,Control!$B$10,$E25),MAX($E25-1,0)))</f>
        <v>0</v>
      </c>
      <c r="M25">
        <f t="shared" si="3"/>
        <v>0</v>
      </c>
    </row>
    <row r="26" spans="1:13" x14ac:dyDescent="0.2">
      <c r="A26">
        <v>7</v>
      </c>
      <c r="B26" t="s">
        <v>61</v>
      </c>
      <c r="C26" s="5">
        <v>8.6574074074074071E-3</v>
      </c>
      <c r="D26" s="2">
        <f>IF($B26="","",IFERROR(VLOOKUP($B26,'Sting in the tail'!$B$2:$M$36,10,FALSE),IF($C26="","",$C26/$P$5)))</f>
        <v>1.1179606104282018</v>
      </c>
      <c r="E26">
        <f>IF($B26="","",IFERROR(VLOOKUP($B26,'Sting in the tail'!$B$2:$M$36,11,FALSE),Control!$B$10))</f>
        <v>0</v>
      </c>
      <c r="F26">
        <f>IF($B26="","",IFERROR(VLOOKUP($B26,'Sting in the tail'!$B$2:$M$36,12,FALSE),0))</f>
        <v>0</v>
      </c>
      <c r="G26" s="5">
        <f t="shared" si="0"/>
        <v>8.7513376996352973E-3</v>
      </c>
      <c r="H26" s="3">
        <f>IF($D26="","",IF($C26="",Control!$B$9,MAX(MIN(($G26-$C26)/$G26,Control!$B$7),Control!$B$8)))</f>
        <v>1.0733249641572471E-2</v>
      </c>
      <c r="I26" s="2">
        <f t="shared" si="1"/>
        <v>1.1059612601070312</v>
      </c>
      <c r="J26" s="2">
        <f>IF($D26="","",IF($E26&gt;0,Control!$B$6,Control!$B$5))</f>
        <v>0.33333333333333331</v>
      </c>
      <c r="K26" s="2">
        <f t="shared" si="2"/>
        <v>1.1139608269878116</v>
      </c>
      <c r="L26">
        <f>IF($B26="","",IF($C26="",IF($M26&gt;=Control!$B$11,Control!$B$10,$E26),MAX($E26-1,0)))</f>
        <v>0</v>
      </c>
      <c r="M26">
        <f t="shared" si="3"/>
        <v>0</v>
      </c>
    </row>
    <row r="27" spans="1:13" x14ac:dyDescent="0.2">
      <c r="A27">
        <v>7</v>
      </c>
      <c r="B27" t="s">
        <v>60</v>
      </c>
      <c r="C27" s="5">
        <v>9.1319444444444443E-3</v>
      </c>
      <c r="D27" s="2">
        <f>IF($B27="","",IFERROR(VLOOKUP($B27,'Sting in the tail'!$B$2:$M$36,10,FALSE),IF($C27="","",$C27/$P$5)))</f>
        <v>1.0623703573328551</v>
      </c>
      <c r="E27">
        <f>IF($B27="","",IFERROR(VLOOKUP($B27,'Sting in the tail'!$B$2:$M$36,11,FALSE),Control!$B$10))</f>
        <v>0</v>
      </c>
      <c r="F27">
        <f>IF($B27="","",IFERROR(VLOOKUP($B27,'Sting in the tail'!$B$2:$M$36,12,FALSE),0))</f>
        <v>0</v>
      </c>
      <c r="G27" s="5">
        <f t="shared" si="0"/>
        <v>8.3161800803885511E-3</v>
      </c>
      <c r="H27" s="3">
        <f>IF($D27="","",IF($C27="",Control!$B$9,MAX(MIN(($G27-$C27)/$G27,Control!$B$7),Control!$B$8)))</f>
        <v>-0.05</v>
      </c>
      <c r="I27" s="2">
        <f t="shared" si="1"/>
        <v>1.1665821313161064</v>
      </c>
      <c r="J27" s="2">
        <f>IF($D27="","",IF($E27&gt;0,Control!$B$6,Control!$B$5))</f>
        <v>0.33333333333333331</v>
      </c>
      <c r="K27" s="2">
        <f t="shared" si="2"/>
        <v>1.0971076153272723</v>
      </c>
      <c r="L27">
        <f>IF($B27="","",IF($C27="",IF($M27&gt;=Control!$B$11,Control!$B$10,$E27),MAX($E27-1,0)))</f>
        <v>0</v>
      </c>
      <c r="M27">
        <f t="shared" si="3"/>
        <v>0</v>
      </c>
    </row>
    <row r="28" spans="1:13" x14ac:dyDescent="0.2">
      <c r="A28">
        <v>7</v>
      </c>
      <c r="B28" t="s">
        <v>63</v>
      </c>
      <c r="C28" s="5">
        <v>1.081018518518518E-2</v>
      </c>
      <c r="D28" s="2">
        <f>IF($B28="","",IFERROR(VLOOKUP($B28,'Sting in the tail'!$B$2:$M$36,10,FALSE),IF($C28="","",$C28/$P$5)))</f>
        <v>1.3952343237353066</v>
      </c>
      <c r="E28">
        <f>IF($B28="","",IFERROR(VLOOKUP($B28,'Sting in the tail'!$B$2:$M$36,11,FALSE),Control!$B$10))</f>
        <v>0</v>
      </c>
      <c r="F28">
        <f>IF($B28="","",IFERROR(VLOOKUP($B28,'Sting in the tail'!$B$2:$M$36,12,FALSE),0))</f>
        <v>0</v>
      </c>
      <c r="G28" s="5">
        <f t="shared" si="0"/>
        <v>1.0921821952611733E-2</v>
      </c>
      <c r="H28" s="3">
        <f>IF($D28="","",IF($C28="",Control!$B$9,MAX(MIN(($G28-$C28)/$G28,Control!$B$7),Control!$B$8)))</f>
        <v>1.0221441798898509E-2</v>
      </c>
      <c r="I28" s="2">
        <f t="shared" si="1"/>
        <v>1.3809730172994208</v>
      </c>
      <c r="J28" s="2">
        <f>IF($D28="","",IF($E28&gt;0,Control!$B$6,Control!$B$5))</f>
        <v>0.33333333333333331</v>
      </c>
      <c r="K28" s="2">
        <f t="shared" si="2"/>
        <v>1.3904805549233448</v>
      </c>
      <c r="L28">
        <f>IF($B28="","",IF($C28="",IF($M28&gt;=Control!$B$11,Control!$B$10,$E28),MAX($E28-1,0)))</f>
        <v>0</v>
      </c>
      <c r="M28">
        <f t="shared" si="3"/>
        <v>0</v>
      </c>
    </row>
    <row r="29" spans="1:13" x14ac:dyDescent="0.2">
      <c r="A29">
        <v>7</v>
      </c>
      <c r="B29" t="s">
        <v>62</v>
      </c>
      <c r="C29" s="5">
        <v>1.0844907407407411E-2</v>
      </c>
      <c r="D29" s="2">
        <f>IF($B29="","",IFERROR(VLOOKUP($B29,'Sting in the tail'!$B$2:$M$36,10,FALSE),IF($C29="","",$C29/$P$5)))</f>
        <v>1.3943427134709347</v>
      </c>
      <c r="E29">
        <f>IF($B29="","",IFERROR(VLOOKUP($B29,'Sting in the tail'!$B$2:$M$36,11,FALSE),Control!$B$10))</f>
        <v>0</v>
      </c>
      <c r="F29">
        <f>IF($B29="","",IFERROR(VLOOKUP($B29,'Sting in the tail'!$B$2:$M$36,12,FALSE),0))</f>
        <v>0</v>
      </c>
      <c r="G29" s="5">
        <f t="shared" si="0"/>
        <v>1.0914842473686272E-2</v>
      </c>
      <c r="H29" s="3">
        <f>IF($D29="","",IF($C29="",Control!$B$9,MAX(MIN(($G29-$C29)/$G29,Control!$B$7),Control!$B$8)))</f>
        <v>6.4073362897780622E-3</v>
      </c>
      <c r="I29" s="2">
        <f t="shared" si="1"/>
        <v>1.3854086908025249</v>
      </c>
      <c r="J29" s="2">
        <f>IF($D29="","",IF($E29&gt;0,Control!$B$6,Control!$B$5))</f>
        <v>0.33333333333333331</v>
      </c>
      <c r="K29" s="2">
        <f t="shared" si="2"/>
        <v>1.3913647059147982</v>
      </c>
      <c r="L29">
        <f>IF($B29="","",IF($C29="",IF($M29&gt;=Control!$B$11,Control!$B$10,$E29),MAX($E29-1,0)))</f>
        <v>0</v>
      </c>
      <c r="M29">
        <f t="shared" si="3"/>
        <v>0</v>
      </c>
    </row>
    <row r="30" spans="1:13" x14ac:dyDescent="0.2">
      <c r="A30">
        <v>7</v>
      </c>
      <c r="B30" t="s">
        <v>64</v>
      </c>
      <c r="C30" s="5">
        <v>1.224537037037037E-2</v>
      </c>
      <c r="D30" s="2">
        <f>IF($B30="","",IFERROR(VLOOKUP($B30,'Sting in the tail'!$B$2:$M$36,10,FALSE),IF($C30="","",$C30/$P$5)))</f>
        <v>1.4599560982585085</v>
      </c>
      <c r="E30">
        <f>IF($B30="","",IFERROR(VLOOKUP($B30,'Sting in the tail'!$B$2:$M$36,11,FALSE),Control!$B$10))</f>
        <v>0</v>
      </c>
      <c r="F30">
        <f>IF($B30="","",IFERROR(VLOOKUP($B30,'Sting in the tail'!$B$2:$M$36,12,FALSE),0))</f>
        <v>0</v>
      </c>
      <c r="G30" s="5">
        <f t="shared" si="0"/>
        <v>1.1428460648187283E-2</v>
      </c>
      <c r="H30" s="3">
        <f>IF($D30="","",IF($C30="",Control!$B$9,MAX(MIN(($G30-$C30)/$G30,Control!$B$7),Control!$B$8)))</f>
        <v>-0.05</v>
      </c>
      <c r="I30" s="2">
        <f t="shared" si="1"/>
        <v>1.5643141887610148</v>
      </c>
      <c r="J30" s="2">
        <f>IF($D30="","",IF($E30&gt;0,Control!$B$6,Control!$B$5))</f>
        <v>0.33333333333333331</v>
      </c>
      <c r="K30" s="2">
        <f t="shared" si="2"/>
        <v>1.4947421284260105</v>
      </c>
      <c r="L30">
        <f>IF($B30="","",IF($C30="",IF($M30&gt;=Control!$B$11,Control!$B$10,$E30),MAX($E30-1,0)))</f>
        <v>0</v>
      </c>
      <c r="M30">
        <f t="shared" si="3"/>
        <v>0</v>
      </c>
    </row>
    <row r="31" spans="1:13" x14ac:dyDescent="0.2">
      <c r="C31" s="5"/>
      <c r="D31" s="2" t="str">
        <f>IF($B31="","",IFERROR(VLOOKUP($B31,'Sting in the tail'!$B$2:$M$36,10,FALSE),IF($C31="","",$C31/$P$5)))</f>
        <v/>
      </c>
      <c r="E31" t="str">
        <f>IF($B31="","",IFERROR(VLOOKUP($B31,'Sting in the tail'!$B$2:$M$36,11,FALSE),Control!$B$10))</f>
        <v/>
      </c>
      <c r="F31" t="str">
        <f>IF($B31="","",IFERROR(VLOOKUP($B31,'Sting in the tail'!$B$2:$M$36,12,FALSE),0))</f>
        <v/>
      </c>
      <c r="G31" s="5" t="str">
        <f t="shared" si="0"/>
        <v/>
      </c>
      <c r="H31" s="3" t="str">
        <f>IF($D31="","",IF($C31="",Control!$B$9,MAX(MIN(($G31-$C31)/$G31,Control!$B$7),Control!$B$8)))</f>
        <v/>
      </c>
      <c r="I31" s="2" t="str">
        <f t="shared" si="1"/>
        <v/>
      </c>
      <c r="J31" s="2" t="str">
        <f>IF($D31="","",IF($E31&gt;0,Control!$B$6,Control!$B$5))</f>
        <v/>
      </c>
      <c r="K31" s="2" t="str">
        <f t="shared" si="2"/>
        <v/>
      </c>
      <c r="L31" t="str">
        <f>IF($B31="","",IF($C31="",IF($M31&gt;=Control!$B$11,Control!$B$10,$E31),MAX($E31-1,0)))</f>
        <v/>
      </c>
      <c r="M31" t="str">
        <f t="shared" si="3"/>
        <v/>
      </c>
    </row>
    <row r="32" spans="1:13" x14ac:dyDescent="0.2">
      <c r="C32" s="5"/>
      <c r="D32" s="2" t="str">
        <f>IF($B32="","",IFERROR(VLOOKUP($B32,'Sting in the tail'!$B$2:$M$36,10,FALSE),IF($C32="","",$C32/$P$5)))</f>
        <v/>
      </c>
      <c r="E32" t="str">
        <f>IF($B32="","",IFERROR(VLOOKUP($B32,'Sting in the tail'!$B$2:$M$36,11,FALSE),Control!$B$10))</f>
        <v/>
      </c>
      <c r="F32" t="str">
        <f>IF($B32="","",IFERROR(VLOOKUP($B32,'Sting in the tail'!$B$2:$M$36,12,FALSE),0))</f>
        <v/>
      </c>
      <c r="G32" s="5" t="str">
        <f t="shared" si="0"/>
        <v/>
      </c>
      <c r="H32" s="3" t="str">
        <f>IF($D32="","",IF($C32="",Control!$B$9,MAX(MIN(($G32-$C32)/$G32,Control!$B$7),Control!$B$8)))</f>
        <v/>
      </c>
      <c r="I32" s="2" t="str">
        <f t="shared" si="1"/>
        <v/>
      </c>
      <c r="J32" s="2" t="str">
        <f>IF($D32="","",IF($E32&gt;0,Control!$B$6,Control!$B$5))</f>
        <v/>
      </c>
      <c r="K32" s="2" t="str">
        <f t="shared" si="2"/>
        <v/>
      </c>
      <c r="L32" t="str">
        <f>IF($B32="","",IF($C32="",IF($M32&gt;=Control!$B$11,Control!$B$10,$E32),MAX($E32-1,0)))</f>
        <v/>
      </c>
      <c r="M32" t="str">
        <f t="shared" si="3"/>
        <v/>
      </c>
    </row>
    <row r="33" spans="3:13" x14ac:dyDescent="0.2">
      <c r="C33" s="5"/>
      <c r="D33" s="2" t="str">
        <f>IF($B33="","",IFERROR(VLOOKUP($B33,'Sting in the tail'!$B$2:$M$36,10,FALSE),IF($C33="","",$C33/$P$5)))</f>
        <v/>
      </c>
      <c r="E33" t="str">
        <f>IF($B33="","",IFERROR(VLOOKUP($B33,'Sting in the tail'!$B$2:$M$36,11,FALSE),Control!$B$10))</f>
        <v/>
      </c>
      <c r="F33" t="str">
        <f>IF($B33="","",IFERROR(VLOOKUP($B33,'Sting in the tail'!$B$2:$M$36,12,FALSE),0))</f>
        <v/>
      </c>
      <c r="G33" s="5" t="str">
        <f t="shared" si="0"/>
        <v/>
      </c>
      <c r="H33" s="3" t="str">
        <f>IF($D33="","",IF($C33="",Control!$B$9,MAX(MIN(($G33-$C33)/$G33,Control!$B$7),Control!$B$8)))</f>
        <v/>
      </c>
      <c r="I33" s="2" t="str">
        <f t="shared" si="1"/>
        <v/>
      </c>
      <c r="J33" s="2" t="str">
        <f>IF($D33="","",IF($E33&gt;0,Control!$B$6,Control!$B$5))</f>
        <v/>
      </c>
      <c r="K33" s="2" t="str">
        <f t="shared" si="2"/>
        <v/>
      </c>
      <c r="L33" t="str">
        <f>IF($B33="","",IF($C33="",IF($M33&gt;=Control!$B$11,Control!$B$10,$E33),MAX($E33-1,0)))</f>
        <v/>
      </c>
      <c r="M33" t="str">
        <f t="shared" si="3"/>
        <v/>
      </c>
    </row>
    <row r="34" spans="3:13" x14ac:dyDescent="0.2">
      <c r="C34" s="5"/>
      <c r="D34" s="2" t="str">
        <f>IF($B34="","",IFERROR(VLOOKUP($B34,'Sting in the tail'!$B$2:$M$36,10,FALSE),IF($C34="","",$C34/$P$5)))</f>
        <v/>
      </c>
      <c r="E34" t="str">
        <f>IF($B34="","",IFERROR(VLOOKUP($B34,'Sting in the tail'!$B$2:$M$36,11,FALSE),Control!$B$10))</f>
        <v/>
      </c>
      <c r="F34" t="str">
        <f>IF($B34="","",IFERROR(VLOOKUP($B34,'Sting in the tail'!$B$2:$M$36,12,FALSE),0))</f>
        <v/>
      </c>
      <c r="G34" s="5" t="str">
        <f t="shared" si="0"/>
        <v/>
      </c>
      <c r="H34" s="3" t="str">
        <f>IF($D34="","",IF($C34="",Control!$B$9,MAX(MIN(($G34-$C34)/$G34,Control!$B$7),Control!$B$8)))</f>
        <v/>
      </c>
      <c r="I34" s="2" t="str">
        <f t="shared" si="1"/>
        <v/>
      </c>
      <c r="J34" s="2" t="str">
        <f>IF($D34="","",IF($E34&gt;0,Control!$B$6,Control!$B$5))</f>
        <v/>
      </c>
      <c r="K34" s="2" t="str">
        <f t="shared" si="2"/>
        <v/>
      </c>
      <c r="L34" t="str">
        <f>IF($B34="","",IF($C34="",IF($M34&gt;=Control!$B$11,Control!$B$10,$E34),MAX($E34-1,0)))</f>
        <v/>
      </c>
      <c r="M34" t="str">
        <f t="shared" si="3"/>
        <v/>
      </c>
    </row>
    <row r="35" spans="3:13" x14ac:dyDescent="0.2">
      <c r="C35" s="5"/>
      <c r="D35" s="2" t="str">
        <f>IF($B35="","",IFERROR(VLOOKUP($B35,'Sting in the tail'!$B$2:$M$36,10,FALSE),IF($C35="","",$C35/$P$5)))</f>
        <v/>
      </c>
      <c r="E35" t="str">
        <f>IF($B35="","",IFERROR(VLOOKUP($B35,'Sting in the tail'!$B$2:$M$36,11,FALSE),Control!$B$10))</f>
        <v/>
      </c>
      <c r="F35" t="str">
        <f>IF($B35="","",IFERROR(VLOOKUP($B35,'Sting in the tail'!$B$2:$M$36,12,FALSE),0))</f>
        <v/>
      </c>
      <c r="G35" s="5" t="str">
        <f t="shared" si="0"/>
        <v/>
      </c>
      <c r="H35" s="3" t="str">
        <f>IF($D35="","",IF($C35="",Control!$B$9,MAX(MIN(($G35-$C35)/$G35,Control!$B$7),Control!$B$8)))</f>
        <v/>
      </c>
      <c r="I35" s="2" t="str">
        <f t="shared" si="1"/>
        <v/>
      </c>
      <c r="J35" s="2" t="str">
        <f>IF($D35="","",IF($E35&gt;0,Control!$B$6,Control!$B$5))</f>
        <v/>
      </c>
      <c r="K35" s="2" t="str">
        <f t="shared" si="2"/>
        <v/>
      </c>
      <c r="L35" t="str">
        <f>IF($B35="","",IF($C35="",IF($M35&gt;=Control!$B$11,Control!$B$10,$E35),MAX($E35-1,0)))</f>
        <v/>
      </c>
      <c r="M35" t="str">
        <f t="shared" si="3"/>
        <v/>
      </c>
    </row>
    <row r="36" spans="3:13" x14ac:dyDescent="0.2">
      <c r="C36" s="5"/>
      <c r="D36" s="2" t="str">
        <f>IF($B36="","",IFERROR(VLOOKUP($B36,'Sting in the tail'!$B$2:$M$36,10,FALSE),IF($C36="","",$C36/$P$5)))</f>
        <v/>
      </c>
      <c r="E36" t="str">
        <f>IF($B36="","",IFERROR(VLOOKUP($B36,'Sting in the tail'!$B$2:$M$36,11,FALSE),Control!$B$10))</f>
        <v/>
      </c>
      <c r="F36" t="str">
        <f>IF($B36="","",IFERROR(VLOOKUP($B36,'Sting in the tail'!$B$2:$M$36,12,FALSE),0))</f>
        <v/>
      </c>
      <c r="G36" s="5" t="str">
        <f t="shared" si="0"/>
        <v/>
      </c>
      <c r="H36" s="3" t="str">
        <f>IF($D36="","",IF($C36="",Control!$B$9,MAX(MIN(($G36-$C36)/$G36,Control!$B$7),Control!$B$8)))</f>
        <v/>
      </c>
      <c r="I36" s="2" t="str">
        <f t="shared" si="1"/>
        <v/>
      </c>
      <c r="J36" s="2" t="str">
        <f>IF($D36="","",IF($E36&gt;0,Control!$B$6,Control!$B$5))</f>
        <v/>
      </c>
      <c r="K36" s="2" t="str">
        <f t="shared" si="2"/>
        <v/>
      </c>
      <c r="L36" t="str">
        <f>IF($B36="","",IF($C36="",IF($M36&gt;=Control!$B$11,Control!$B$10,$E36),MAX($E36-1,0)))</f>
        <v/>
      </c>
      <c r="M36" t="str">
        <f t="shared" si="3"/>
        <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6"/>
  <sheetViews>
    <sheetView workbookViewId="0"/>
  </sheetViews>
  <sheetFormatPr baseColWidth="10" defaultColWidth="8.83203125" defaultRowHeight="15" x14ac:dyDescent="0.2"/>
  <cols>
    <col min="2" max="2" width="18" customWidth="1"/>
    <col min="3" max="4" width="11" customWidth="1"/>
    <col min="5" max="6" width="13" customWidth="1"/>
    <col min="7" max="11" width="11" customWidth="1"/>
    <col min="12" max="13" width="13" customWidth="1"/>
    <col min="15" max="15" width="28" customWidth="1"/>
    <col min="16" max="16" width="11" customWidth="1"/>
    <col min="19" max="19" width="11" customWidth="1"/>
  </cols>
  <sheetData>
    <row r="1" spans="1:20" x14ac:dyDescent="0.2">
      <c r="A1" s="1" t="s">
        <v>3</v>
      </c>
      <c r="B1" s="1" t="s">
        <v>4</v>
      </c>
      <c r="C1" s="1" t="s">
        <v>65</v>
      </c>
      <c r="D1" s="1" t="s">
        <v>66</v>
      </c>
      <c r="E1" s="1" t="s">
        <v>67</v>
      </c>
      <c r="F1" s="1" t="s">
        <v>68</v>
      </c>
      <c r="G1" s="1" t="s">
        <v>7</v>
      </c>
      <c r="H1" s="1" t="s">
        <v>8</v>
      </c>
      <c r="I1" s="1" t="s">
        <v>69</v>
      </c>
      <c r="J1" s="1" t="s">
        <v>70</v>
      </c>
      <c r="K1" s="1" t="s">
        <v>71</v>
      </c>
      <c r="L1" s="1" t="s">
        <v>72</v>
      </c>
      <c r="M1" s="1" t="s">
        <v>73</v>
      </c>
      <c r="O1" s="1" t="s">
        <v>74</v>
      </c>
      <c r="R1" s="1" t="s">
        <v>3</v>
      </c>
      <c r="S1" s="1" t="s">
        <v>9</v>
      </c>
      <c r="T1" s="1" t="s">
        <v>5</v>
      </c>
    </row>
    <row r="2" spans="1:20" x14ac:dyDescent="0.2">
      <c r="A2">
        <v>1</v>
      </c>
      <c r="B2" t="s">
        <v>13</v>
      </c>
      <c r="C2" s="5">
        <v>1.3252314814814811E-2</v>
      </c>
      <c r="D2" s="2">
        <f>IF($B2="","",IFERROR(VLOOKUP($B2,'Dune Bugger'!$B$2:$M$36,10,FALSE),IF($C2="","",$C2/$P$5)))</f>
        <v>1.0020840665697037</v>
      </c>
      <c r="E2">
        <f>IF($B2="","",IFERROR(VLOOKUP($B2,'Dune Bugger'!$B$2:$M$36,11,FALSE),Control!$B$10))</f>
        <v>0</v>
      </c>
      <c r="F2">
        <f>IF($B2="","",IFERROR(VLOOKUP($B2,'Dune Bugger'!$B$2:$M$36,12,FALSE),0))</f>
        <v>0</v>
      </c>
      <c r="G2" s="5">
        <f t="shared" ref="G2:G36" si="0">IF($D2="","",$D2*$P$5)</f>
        <v>1.3133443463256579E-2</v>
      </c>
      <c r="H2" s="3">
        <f>IF($D2="","",IF($C2="",Control!$B$9,MAX(MIN(($G2-$C2)/$G2,Control!$B$7),Control!$B$8)))</f>
        <v>-9.0510422411911994E-3</v>
      </c>
      <c r="I2" s="2">
        <f t="shared" ref="I2:I36" si="1">IF($D2="","",IF($C2="",$D2,$C2/$P$5))</f>
        <v>1.0111539717854507</v>
      </c>
      <c r="J2" s="2">
        <f>IF($D2="","",IF($E2&gt;0,Control!$B$6,Control!$B$5))</f>
        <v>0.33333333333333331</v>
      </c>
      <c r="K2" s="2">
        <f t="shared" ref="K2:K36" si="2">IF($D2="","",$D2-$J2*($D2-$I2))</f>
        <v>1.0051073683082861</v>
      </c>
      <c r="L2">
        <f>IF($B2="","",IF($C2="",IF($M2&gt;=Control!$B$11,Control!$B$10,$E2),MAX($E2-1,0)))</f>
        <v>0</v>
      </c>
      <c r="M2">
        <f t="shared" ref="M2:M36" si="3">IF($B2="","",IF($C2="",$F2+1,0))</f>
        <v>0</v>
      </c>
      <c r="O2" t="str">
        <f>Control!$B$2</f>
        <v>Ben Wernick</v>
      </c>
      <c r="P2" s="5">
        <f>IFERROR(IF(VLOOKUP($O2,$B$2:$C$36,2,FALSE)=0,"",VLOOKUP($O2,$B$2:$C$36,2,FALSE)/VLOOKUP($O2,$B$2:$D$36,3,FALSE)),"")</f>
        <v>1.3224753548052743E-2</v>
      </c>
      <c r="R2">
        <v>1</v>
      </c>
      <c r="S2" s="3">
        <f t="shared" ref="S2:S8" si="4">AVERAGEIF($A$2:$A$36,$R2,$H$2:$H$36)</f>
        <v>-7.6914773608161568E-3</v>
      </c>
      <c r="T2">
        <f t="shared" ref="T2:T8" si="5">RANK($S2,$S$2:$S$8)</f>
        <v>4</v>
      </c>
    </row>
    <row r="3" spans="1:20" x14ac:dyDescent="0.2">
      <c r="A3">
        <v>1</v>
      </c>
      <c r="B3" t="s">
        <v>17</v>
      </c>
      <c r="C3" s="5">
        <v>1.5277777777777781E-2</v>
      </c>
      <c r="D3" s="2">
        <f>IF($B3="","",IFERROR(VLOOKUP($B3,'Dune Bugger'!$B$2:$M$36,10,FALSE),IF($C3="","",$C3/$P$5)))</f>
        <v>1.169539246984842</v>
      </c>
      <c r="E3">
        <f>IF($B3="","",IFERROR(VLOOKUP($B3,'Dune Bugger'!$B$2:$M$36,11,FALSE),Control!$B$10))</f>
        <v>0</v>
      </c>
      <c r="F3">
        <f>IF($B3="","",IFERROR(VLOOKUP($B3,'Dune Bugger'!$B$2:$M$36,12,FALSE),0))</f>
        <v>0</v>
      </c>
      <c r="G3" s="5">
        <f t="shared" si="0"/>
        <v>1.53281327293379E-2</v>
      </c>
      <c r="H3" s="3">
        <f>IF($D3="","",IF($C3="",Control!$B$9,MAX(MIN(($G3-$C3)/$G3,Control!$B$7),Control!$B$8)))</f>
        <v>3.2851327979265678E-3</v>
      </c>
      <c r="I3" s="2">
        <f t="shared" si="1"/>
        <v>1.1656971552461097</v>
      </c>
      <c r="J3" s="2">
        <f>IF($D3="","",IF($E3&gt;0,Control!$B$6,Control!$B$5))</f>
        <v>0.33333333333333331</v>
      </c>
      <c r="K3" s="2">
        <f t="shared" si="2"/>
        <v>1.168258549738598</v>
      </c>
      <c r="L3">
        <f>IF($B3="","",IF($C3="",IF($M3&gt;=Control!$B$11,Control!$B$10,$E3),MAX($E3-1,0)))</f>
        <v>0</v>
      </c>
      <c r="M3">
        <f t="shared" si="3"/>
        <v>0</v>
      </c>
      <c r="O3" t="str">
        <f>Control!$B$3</f>
        <v>Mark Emery</v>
      </c>
      <c r="P3" s="5">
        <f>IFERROR(IF(VLOOKUP($O3,$B$2:$C$36,2,FALSE)=0,"",VLOOKUP($O3,$B$2:$C$36,2,FALSE)/VLOOKUP($O3,$B$2:$D$36,3,FALSE)),"")</f>
        <v>1.3106129417080231E-2</v>
      </c>
      <c r="R3">
        <v>2</v>
      </c>
      <c r="S3" s="3">
        <f t="shared" si="4"/>
        <v>-3.5134933897613347E-3</v>
      </c>
      <c r="T3">
        <f t="shared" si="5"/>
        <v>3</v>
      </c>
    </row>
    <row r="4" spans="1:20" x14ac:dyDescent="0.2">
      <c r="A4">
        <v>1</v>
      </c>
      <c r="B4" t="s">
        <v>40</v>
      </c>
      <c r="C4" s="5">
        <v>1.5891203703703699E-2</v>
      </c>
      <c r="D4" s="2">
        <f>IF($B4="","",IFERROR(VLOOKUP($B4,'Dune Bugger'!$B$2:$M$36,10,FALSE),IF($C4="","",$C4/$P$5)))</f>
        <v>1.2795279199201319</v>
      </c>
      <c r="E4">
        <f>IF($B4="","",IFERROR(VLOOKUP($B4,'Dune Bugger'!$B$2:$M$36,11,FALSE),Control!$B$10))</f>
        <v>0</v>
      </c>
      <c r="F4">
        <f>IF($B4="","",IFERROR(VLOOKUP($B4,'Dune Bugger'!$B$2:$M$36,12,FALSE),0))</f>
        <v>0</v>
      </c>
      <c r="G4" s="5">
        <f t="shared" si="0"/>
        <v>1.676965851124072E-2</v>
      </c>
      <c r="H4" s="3">
        <f>IF($D4="","",IF($C4="",Control!$B$9,MAX(MIN(($G4-$C4)/$G4,Control!$B$7),Control!$B$8)))</f>
        <v>0.05</v>
      </c>
      <c r="I4" s="2">
        <f t="shared" si="1"/>
        <v>1.2125016622370515</v>
      </c>
      <c r="J4" s="2">
        <f>IF($D4="","",IF($E4&gt;0,Control!$B$6,Control!$B$5))</f>
        <v>0.33333333333333331</v>
      </c>
      <c r="K4" s="2">
        <f t="shared" si="2"/>
        <v>1.2571858340257718</v>
      </c>
      <c r="L4">
        <f>IF($B4="","",IF($C4="",IF($M4&gt;=Control!$B$11,Control!$B$10,$E4),MAX($E4-1,0)))</f>
        <v>0</v>
      </c>
      <c r="M4">
        <f t="shared" si="3"/>
        <v>0</v>
      </c>
      <c r="O4" t="str">
        <f>Control!$B$4</f>
        <v>Anne Marie Moon</v>
      </c>
      <c r="P4" s="5">
        <f>IFERROR(IF(VLOOKUP($O4,$B$2:$C$36,2,FALSE)=0,"",VLOOKUP($O4,$B$2:$C$36,2,FALSE)/VLOOKUP($O4,$B$2:$D$36,3,FALSE)),"")</f>
        <v>1.3063074041478311E-2</v>
      </c>
      <c r="R4">
        <v>3</v>
      </c>
      <c r="S4" s="3">
        <f t="shared" si="4"/>
        <v>-2.4508101905697067E-2</v>
      </c>
      <c r="T4">
        <f t="shared" si="5"/>
        <v>5</v>
      </c>
    </row>
    <row r="5" spans="1:20" x14ac:dyDescent="0.2">
      <c r="A5">
        <v>1</v>
      </c>
      <c r="B5" t="s">
        <v>39</v>
      </c>
      <c r="C5" s="5"/>
      <c r="D5" s="2">
        <f>IF($B5="","",IFERROR(VLOOKUP($B5,'Dune Bugger'!$B$2:$M$36,10,FALSE),IF($C5="","",$C5/$P$5)))</f>
        <v>1.0840127255132446</v>
      </c>
      <c r="E5">
        <f>IF($B5="","",IFERROR(VLOOKUP($B5,'Dune Bugger'!$B$2:$M$36,11,FALSE),Control!$B$10))</f>
        <v>0</v>
      </c>
      <c r="F5">
        <f>IF($B5="","",IFERROR(VLOOKUP($B5,'Dune Bugger'!$B$2:$M$36,12,FALSE),0))</f>
        <v>0</v>
      </c>
      <c r="G5" s="5">
        <f t="shared" si="0"/>
        <v>1.4207211070338453E-2</v>
      </c>
      <c r="H5" s="3">
        <f>IF($D5="","",IF($C5="",Control!$B$9,MAX(MIN(($G5-$C5)/$G5,Control!$B$7),Control!$B$8)))</f>
        <v>-7.4999999999999997E-2</v>
      </c>
      <c r="I5" s="2">
        <f t="shared" si="1"/>
        <v>1.0840127255132446</v>
      </c>
      <c r="J5" s="2">
        <f>IF($D5="","",IF($E5&gt;0,Control!$B$6,Control!$B$5))</f>
        <v>0.33333333333333331</v>
      </c>
      <c r="K5" s="2">
        <f t="shared" si="2"/>
        <v>1.0840127255132446</v>
      </c>
      <c r="L5">
        <f>IF($B5="","",IF($C5="",IF($M5&gt;=Control!$B$11,Control!$B$10,$E5),MAX($E5-1,0)))</f>
        <v>0</v>
      </c>
      <c r="M5">
        <f t="shared" si="3"/>
        <v>1</v>
      </c>
      <c r="O5" s="1" t="s">
        <v>75</v>
      </c>
      <c r="P5" s="5">
        <f>MEDIAN(P2:P4)</f>
        <v>1.3106129417080231E-2</v>
      </c>
      <c r="R5">
        <v>4</v>
      </c>
      <c r="S5" s="3">
        <f t="shared" si="4"/>
        <v>7.3705445320112152E-3</v>
      </c>
      <c r="T5">
        <f t="shared" si="5"/>
        <v>2</v>
      </c>
    </row>
    <row r="6" spans="1:20" x14ac:dyDescent="0.2">
      <c r="A6">
        <v>2</v>
      </c>
      <c r="B6" t="s">
        <v>15</v>
      </c>
      <c r="C6" s="5">
        <v>1.275462962962963E-2</v>
      </c>
      <c r="D6" s="2">
        <f>IF($B6="","",IFERROR(VLOOKUP($B6,'Dune Bugger'!$B$2:$M$36,10,FALSE),IF($C6="","",$C6/$P$5)))</f>
        <v>0.97318050384940358</v>
      </c>
      <c r="E6">
        <f>IF($B6="","",IFERROR(VLOOKUP($B6,'Dune Bugger'!$B$2:$M$36,11,FALSE),Control!$B$10))</f>
        <v>0</v>
      </c>
      <c r="F6">
        <f>IF($B6="","",IFERROR(VLOOKUP($B6,'Dune Bugger'!$B$2:$M$36,12,FALSE),0))</f>
        <v>0</v>
      </c>
      <c r="G6" s="5">
        <f t="shared" si="0"/>
        <v>1.275462962962963E-2</v>
      </c>
      <c r="H6" s="3">
        <f>IF($D6="","",IF($C6="",Control!$B$9,MAX(MIN(($G6-$C6)/$G6,Control!$B$7),Control!$B$8)))</f>
        <v>0</v>
      </c>
      <c r="I6" s="2">
        <f t="shared" si="1"/>
        <v>0.97318050384940358</v>
      </c>
      <c r="J6" s="2">
        <f>IF($D6="","",IF($E6&gt;0,Control!$B$6,Control!$B$5))</f>
        <v>0.33333333333333331</v>
      </c>
      <c r="K6" s="2">
        <f t="shared" si="2"/>
        <v>0.97318050384940358</v>
      </c>
      <c r="L6">
        <f>IF($B6="","",IF($C6="",IF($M6&gt;=Control!$B$11,Control!$B$10,$E6),MAX($E6-1,0)))</f>
        <v>0</v>
      </c>
      <c r="M6">
        <f t="shared" si="3"/>
        <v>0</v>
      </c>
      <c r="R6">
        <v>5</v>
      </c>
      <c r="S6" s="3">
        <f t="shared" si="4"/>
        <v>-6.4539626119031759E-2</v>
      </c>
      <c r="T6">
        <f t="shared" si="5"/>
        <v>6</v>
      </c>
    </row>
    <row r="7" spans="1:20" x14ac:dyDescent="0.2">
      <c r="A7">
        <v>2</v>
      </c>
      <c r="B7" t="s">
        <v>41</v>
      </c>
      <c r="C7" s="5">
        <v>1.412037037037037E-2</v>
      </c>
      <c r="D7" s="2">
        <f>IF($B7="","",IFERROR(VLOOKUP($B7,'Dune Bugger'!$B$2:$M$36,10,FALSE),IF($C7="","",$C7/$P$5)))</f>
        <v>1.0492333499873678</v>
      </c>
      <c r="E7">
        <f>IF($B7="","",IFERROR(VLOOKUP($B7,'Dune Bugger'!$B$2:$M$36,11,FALSE),Control!$B$10))</f>
        <v>0</v>
      </c>
      <c r="F7">
        <f>IF($B7="","",IFERROR(VLOOKUP($B7,'Dune Bugger'!$B$2:$M$36,12,FALSE),0))</f>
        <v>0</v>
      </c>
      <c r="G7" s="5">
        <f t="shared" si="0"/>
        <v>1.375138807365108E-2</v>
      </c>
      <c r="H7" s="3">
        <f>IF($D7="","",IF($C7="",Control!$B$9,MAX(MIN(($G7-$C7)/$G7,Control!$B$7),Control!$B$8)))</f>
        <v>-2.6832367375791977E-2</v>
      </c>
      <c r="I7" s="2">
        <f t="shared" si="1"/>
        <v>1.0773867646971618</v>
      </c>
      <c r="J7" s="2">
        <f>IF($D7="","",IF($E7&gt;0,Control!$B$6,Control!$B$5))</f>
        <v>0.33333333333333331</v>
      </c>
      <c r="K7" s="2">
        <f t="shared" si="2"/>
        <v>1.0586178215572992</v>
      </c>
      <c r="L7">
        <f>IF($B7="","",IF($C7="",IF($M7&gt;=Control!$B$11,Control!$B$10,$E7),MAX($E7-1,0)))</f>
        <v>0</v>
      </c>
      <c r="M7">
        <f t="shared" si="3"/>
        <v>0</v>
      </c>
      <c r="R7">
        <v>6</v>
      </c>
      <c r="S7" s="3">
        <f t="shared" si="4"/>
        <v>7.9063039870061001E-3</v>
      </c>
      <c r="T7">
        <f t="shared" si="5"/>
        <v>1</v>
      </c>
    </row>
    <row r="8" spans="1:20" x14ac:dyDescent="0.2">
      <c r="A8">
        <v>2</v>
      </c>
      <c r="B8" t="s">
        <v>42</v>
      </c>
      <c r="C8" s="5">
        <v>1.4618055555555559E-2</v>
      </c>
      <c r="D8" s="2">
        <f>IF($B8="","",IFERROR(VLOOKUP($B8,'Dune Bugger'!$B$2:$M$36,10,FALSE),IF($C8="","",$C8/$P$5)))</f>
        <v>1.1238884925193633</v>
      </c>
      <c r="E8">
        <f>IF($B8="","",IFERROR(VLOOKUP($B8,'Dune Bugger'!$B$2:$M$36,11,FALSE),Control!$B$10))</f>
        <v>0</v>
      </c>
      <c r="F8">
        <f>IF($B8="","",IFERROR(VLOOKUP($B8,'Dune Bugger'!$B$2:$M$36,12,FALSE),0))</f>
        <v>0</v>
      </c>
      <c r="G8" s="5">
        <f t="shared" si="0"/>
        <v>1.4729828033325983E-2</v>
      </c>
      <c r="H8" s="3">
        <f>IF($D8="","",IF($C8="",Control!$B$9,MAX(MIN(($G8-$C8)/$G8,Control!$B$7),Control!$B$8)))</f>
        <v>7.5881726193639306E-3</v>
      </c>
      <c r="I8" s="2">
        <f t="shared" si="1"/>
        <v>1.1153602326332097</v>
      </c>
      <c r="J8" s="2">
        <f>IF($D8="","",IF($E8&gt;0,Control!$B$6,Control!$B$5))</f>
        <v>0.33333333333333331</v>
      </c>
      <c r="K8" s="2">
        <f t="shared" si="2"/>
        <v>1.1210457392239788</v>
      </c>
      <c r="L8">
        <f>IF($B8="","",IF($C8="",IF($M8&gt;=Control!$B$11,Control!$B$10,$E8),MAX($E8-1,0)))</f>
        <v>0</v>
      </c>
      <c r="M8">
        <f t="shared" si="3"/>
        <v>0</v>
      </c>
      <c r="R8">
        <v>7</v>
      </c>
      <c r="S8" s="3">
        <f t="shared" si="4"/>
        <v>-6.5959122697836464E-2</v>
      </c>
      <c r="T8">
        <f t="shared" si="5"/>
        <v>7</v>
      </c>
    </row>
    <row r="9" spans="1:20" x14ac:dyDescent="0.2">
      <c r="A9">
        <v>2</v>
      </c>
      <c r="B9" t="s">
        <v>43</v>
      </c>
      <c r="C9" s="5">
        <v>1.681712962962963E-2</v>
      </c>
      <c r="D9" s="2">
        <f>IF($B9="","",IFERROR(VLOOKUP($B9,'Dune Bugger'!$B$2:$M$36,10,FALSE),IF($C9="","",$C9/$P$5)))</f>
        <v>1.2898445532176488</v>
      </c>
      <c r="E9">
        <f>IF($B9="","",IFERROR(VLOOKUP($B9,'Dune Bugger'!$B$2:$M$36,11,FALSE),Control!$B$10))</f>
        <v>0</v>
      </c>
      <c r="F9">
        <f>IF($B9="","",IFERROR(VLOOKUP($B9,'Dune Bugger'!$B$2:$M$36,12,FALSE),0))</f>
        <v>0</v>
      </c>
      <c r="G9" s="5">
        <f t="shared" si="0"/>
        <v>1.6904869642386536E-2</v>
      </c>
      <c r="H9" s="3">
        <f>IF($D9="","",IF($C9="",Control!$B$9,MAX(MIN(($G9-$C9)/$G9,Control!$B$7),Control!$B$8)))</f>
        <v>5.1902211973827049E-3</v>
      </c>
      <c r="I9" s="2">
        <f t="shared" si="1"/>
        <v>1.2831499746762101</v>
      </c>
      <c r="J9" s="2">
        <f>IF($D9="","",IF($E9&gt;0,Control!$B$6,Control!$B$5))</f>
        <v>0.33333333333333331</v>
      </c>
      <c r="K9" s="2">
        <f t="shared" si="2"/>
        <v>1.2876130270371693</v>
      </c>
      <c r="L9">
        <f>IF($B9="","",IF($C9="",IF($M9&gt;=Control!$B$11,Control!$B$10,$E9),MAX($E9-1,0)))</f>
        <v>0</v>
      </c>
      <c r="M9">
        <f t="shared" si="3"/>
        <v>0</v>
      </c>
    </row>
    <row r="10" spans="1:20" x14ac:dyDescent="0.2">
      <c r="A10">
        <v>3</v>
      </c>
      <c r="B10" t="s">
        <v>45</v>
      </c>
      <c r="C10" s="5">
        <v>1.636574074074074E-2</v>
      </c>
      <c r="D10" s="2">
        <f>IF($B10="","",IFERROR(VLOOKUP($B10,'Dune Bugger'!$B$2:$M$36,10,FALSE),IF($C10="","",$C10/$P$5)))</f>
        <v>1.2287524226223514</v>
      </c>
      <c r="E10">
        <f>IF($B10="","",IFERROR(VLOOKUP($B10,'Dune Bugger'!$B$2:$M$36,11,FALSE),Control!$B$10))</f>
        <v>0</v>
      </c>
      <c r="F10">
        <f>IF($B10="","",IFERROR(VLOOKUP($B10,'Dune Bugger'!$B$2:$M$36,12,FALSE),0))</f>
        <v>0</v>
      </c>
      <c r="G10" s="5">
        <f t="shared" si="0"/>
        <v>1.6104188272439399E-2</v>
      </c>
      <c r="H10" s="3">
        <f>IF($D10="","",IF($C10="",Control!$B$9,MAX(MIN(($G10-$C10)/$G10,Control!$B$7),Control!$B$8)))</f>
        <v>-1.624126990299533E-2</v>
      </c>
      <c r="I10" s="2">
        <f t="shared" si="1"/>
        <v>1.2487089223621204</v>
      </c>
      <c r="J10" s="2">
        <f>IF($D10="","",IF($E10&gt;0,Control!$B$6,Control!$B$5))</f>
        <v>0.33333333333333331</v>
      </c>
      <c r="K10" s="2">
        <f t="shared" si="2"/>
        <v>1.2354045892022745</v>
      </c>
      <c r="L10">
        <f>IF($B10="","",IF($C10="",IF($M10&gt;=Control!$B$11,Control!$B$10,$E10),MAX($E10-1,0)))</f>
        <v>0</v>
      </c>
      <c r="M10">
        <f t="shared" si="3"/>
        <v>0</v>
      </c>
    </row>
    <row r="11" spans="1:20" x14ac:dyDescent="0.2">
      <c r="A11">
        <v>3</v>
      </c>
      <c r="B11" t="s">
        <v>44</v>
      </c>
      <c r="C11" s="5">
        <v>1.6736111111111111E-2</v>
      </c>
      <c r="D11" s="2">
        <f>IF($B11="","",IFERROR(VLOOKUP($B11,'Dune Bugger'!$B$2:$M$36,10,FALSE),IF($C11="","",$C11/$P$5)))</f>
        <v>1.1795760784642553</v>
      </c>
      <c r="E11">
        <f>IF($B11="","",IFERROR(VLOOKUP($B11,'Dune Bugger'!$B$2:$M$36,11,FALSE),Control!$B$10))</f>
        <v>0</v>
      </c>
      <c r="F11">
        <f>IF($B11="","",IFERROR(VLOOKUP($B11,'Dune Bugger'!$B$2:$M$36,12,FALSE),0))</f>
        <v>0</v>
      </c>
      <c r="G11" s="5">
        <f t="shared" si="0"/>
        <v>1.5459676741644515E-2</v>
      </c>
      <c r="H11" s="3">
        <f>IF($D11="","",IF($C11="",Control!$B$9,MAX(MIN(($G11-$C11)/$G11,Control!$B$7),Control!$B$8)))</f>
        <v>-0.05</v>
      </c>
      <c r="I11" s="2">
        <f t="shared" si="1"/>
        <v>1.2769682473377837</v>
      </c>
      <c r="J11" s="2">
        <f>IF($D11="","",IF($E11&gt;0,Control!$B$6,Control!$B$5))</f>
        <v>0.33333333333333331</v>
      </c>
      <c r="K11" s="2">
        <f t="shared" si="2"/>
        <v>1.2120401347554315</v>
      </c>
      <c r="L11">
        <f>IF($B11="","",IF($C11="",IF($M11&gt;=Control!$B$11,Control!$B$10,$E11),MAX($E11-1,0)))</f>
        <v>0</v>
      </c>
      <c r="M11">
        <f t="shared" si="3"/>
        <v>0</v>
      </c>
    </row>
    <row r="12" spans="1:20" x14ac:dyDescent="0.2">
      <c r="A12">
        <v>3</v>
      </c>
      <c r="B12" t="s">
        <v>46</v>
      </c>
      <c r="C12" s="5">
        <v>1.7685185185185189E-2</v>
      </c>
      <c r="D12" s="2">
        <f>IF($B12="","",IFERROR(VLOOKUP($B12,'Dune Bugger'!$B$2:$M$36,10,FALSE),IF($C12="","",$C12/$P$5)))</f>
        <v>1.339626221836782</v>
      </c>
      <c r="E12">
        <f>IF($B12="","",IFERROR(VLOOKUP($B12,'Dune Bugger'!$B$2:$M$36,11,FALSE),Control!$B$10))</f>
        <v>0</v>
      </c>
      <c r="F12">
        <f>IF($B12="","",IFERROR(VLOOKUP($B12,'Dune Bugger'!$B$2:$M$36,12,FALSE),0))</f>
        <v>0</v>
      </c>
      <c r="G12" s="5">
        <f t="shared" si="0"/>
        <v>1.7557314633907094E-2</v>
      </c>
      <c r="H12" s="3">
        <f>IF($D12="","",IF($C12="",Control!$B$9,MAX(MIN(($G12-$C12)/$G12,Control!$B$7),Control!$B$8)))</f>
        <v>-7.283035814095863E-3</v>
      </c>
      <c r="I12" s="2">
        <f t="shared" si="1"/>
        <v>1.3493827675879211</v>
      </c>
      <c r="J12" s="2">
        <f>IF($D12="","",IF($E12&gt;0,Control!$B$6,Control!$B$5))</f>
        <v>0.33333333333333331</v>
      </c>
      <c r="K12" s="2">
        <f t="shared" si="2"/>
        <v>1.3428784037538284</v>
      </c>
      <c r="L12">
        <f>IF($B12="","",IF($C12="",IF($M12&gt;=Control!$B$11,Control!$B$10,$E12),MAX($E12-1,0)))</f>
        <v>0</v>
      </c>
      <c r="M12">
        <f t="shared" si="3"/>
        <v>0</v>
      </c>
    </row>
    <row r="13" spans="1:20" x14ac:dyDescent="0.2">
      <c r="A13">
        <v>4</v>
      </c>
      <c r="B13" t="s">
        <v>47</v>
      </c>
      <c r="C13" s="5">
        <v>1.7638888888888891E-2</v>
      </c>
      <c r="D13" s="2">
        <f>IF($B13="","",IFERROR(VLOOKUP($B13,'Dune Bugger'!$B$2:$M$36,10,FALSE),IF($C13="","",$C13/$P$5)))</f>
        <v>1.2481530643149363</v>
      </c>
      <c r="E13">
        <f>IF($B13="","",IFERROR(VLOOKUP($B13,'Dune Bugger'!$B$2:$M$36,11,FALSE),Control!$B$10))</f>
        <v>0</v>
      </c>
      <c r="F13">
        <f>IF($B13="","",IFERROR(VLOOKUP($B13,'Dune Bugger'!$B$2:$M$36,12,FALSE),0))</f>
        <v>0</v>
      </c>
      <c r="G13" s="5">
        <f t="shared" si="0"/>
        <v>1.6358455593236822E-2</v>
      </c>
      <c r="H13" s="3">
        <f>IF($D13="","",IF($C13="",Control!$B$9,MAX(MIN(($G13-$C13)/$G13,Control!$B$7),Control!$B$8)))</f>
        <v>-0.05</v>
      </c>
      <c r="I13" s="2">
        <f t="shared" si="1"/>
        <v>1.345850351965963</v>
      </c>
      <c r="J13" s="2">
        <f>IF($D13="","",IF($E13&gt;0,Control!$B$6,Control!$B$5))</f>
        <v>0.33333333333333331</v>
      </c>
      <c r="K13" s="2">
        <f t="shared" si="2"/>
        <v>1.2807188268652785</v>
      </c>
      <c r="L13">
        <f>IF($B13="","",IF($C13="",IF($M13&gt;=Control!$B$11,Control!$B$10,$E13),MAX($E13-1,0)))</f>
        <v>0</v>
      </c>
      <c r="M13">
        <f t="shared" si="3"/>
        <v>0</v>
      </c>
    </row>
    <row r="14" spans="1:20" x14ac:dyDescent="0.2">
      <c r="A14">
        <v>4</v>
      </c>
      <c r="B14" t="s">
        <v>48</v>
      </c>
      <c r="C14" s="5">
        <v>2.0243055555555559E-2</v>
      </c>
      <c r="D14" s="2">
        <f>IF($B14="","",IFERROR(VLOOKUP($B14,'Dune Bugger'!$B$2:$M$36,10,FALSE),IF($C14="","",$C14/$P$5)))</f>
        <v>1.5934327467855984</v>
      </c>
      <c r="E14">
        <f>IF($B14="","",IFERROR(VLOOKUP($B14,'Dune Bugger'!$B$2:$M$36,11,FALSE),Control!$B$10))</f>
        <v>0</v>
      </c>
      <c r="F14">
        <f>IF($B14="","",IFERROR(VLOOKUP($B14,'Dune Bugger'!$B$2:$M$36,12,FALSE),0))</f>
        <v>0</v>
      </c>
      <c r="G14" s="5">
        <f t="shared" si="0"/>
        <v>2.0883735796785687E-2</v>
      </c>
      <c r="H14" s="3">
        <f>IF($D14="","",IF($C14="",Control!$B$9,MAX(MIN(($G14-$C14)/$G14,Control!$B$7),Control!$B$8)))</f>
        <v>3.0678430691923299E-2</v>
      </c>
      <c r="I14" s="2">
        <f t="shared" si="1"/>
        <v>1.5445487307010954</v>
      </c>
      <c r="J14" s="2">
        <f>IF($D14="","",IF($E14&gt;0,Control!$B$6,Control!$B$5))</f>
        <v>0.33333333333333331</v>
      </c>
      <c r="K14" s="2">
        <f t="shared" si="2"/>
        <v>1.5771380747574308</v>
      </c>
      <c r="L14">
        <f>IF($B14="","",IF($C14="",IF($M14&gt;=Control!$B$11,Control!$B$10,$E14),MAX($E14-1,0)))</f>
        <v>0</v>
      </c>
      <c r="M14">
        <f t="shared" si="3"/>
        <v>0</v>
      </c>
    </row>
    <row r="15" spans="1:20" x14ac:dyDescent="0.2">
      <c r="A15">
        <v>4</v>
      </c>
      <c r="B15" t="s">
        <v>49</v>
      </c>
      <c r="C15" s="5">
        <v>2.060185185185185E-2</v>
      </c>
      <c r="D15" s="2">
        <f>IF($B15="","",IFERROR(VLOOKUP($B15,'Dune Bugger'!$B$2:$M$36,10,FALSE),IF($C15="","",$C15/$P$5)))</f>
        <v>1.6050045644696378</v>
      </c>
      <c r="E15">
        <f>IF($B15="","",IFERROR(VLOOKUP($B15,'Dune Bugger'!$B$2:$M$36,11,FALSE),Control!$B$10))</f>
        <v>0</v>
      </c>
      <c r="F15">
        <f>IF($B15="","",IFERROR(VLOOKUP($B15,'Dune Bugger'!$B$2:$M$36,12,FALSE),0))</f>
        <v>0</v>
      </c>
      <c r="G15" s="5">
        <f t="shared" si="0"/>
        <v>2.1035397536943563E-2</v>
      </c>
      <c r="H15" s="3">
        <f>IF($D15="","",IF($C15="",Control!$B$9,MAX(MIN(($G15-$C15)/$G15,Control!$B$7),Control!$B$8)))</f>
        <v>2.0610291977144493E-2</v>
      </c>
      <c r="I15" s="2">
        <f t="shared" si="1"/>
        <v>1.571924951771269</v>
      </c>
      <c r="J15" s="2">
        <f>IF($D15="","",IF($E15&gt;0,Control!$B$6,Control!$B$5))</f>
        <v>0.33333333333333331</v>
      </c>
      <c r="K15" s="2">
        <f t="shared" si="2"/>
        <v>1.5939780269035149</v>
      </c>
      <c r="L15">
        <f>IF($B15="","",IF($C15="",IF($M15&gt;=Control!$B$11,Control!$B$10,$E15),MAX($E15-1,0)))</f>
        <v>0</v>
      </c>
      <c r="M15">
        <f t="shared" si="3"/>
        <v>0</v>
      </c>
    </row>
    <row r="16" spans="1:20" x14ac:dyDescent="0.2">
      <c r="A16">
        <v>4</v>
      </c>
      <c r="B16" t="s">
        <v>50</v>
      </c>
      <c r="C16" s="5">
        <v>2.0636574074074071E-2</v>
      </c>
      <c r="D16" s="2">
        <f>IF($B16="","",IFERROR(VLOOKUP($B16,'Dune Bugger'!$B$2:$M$36,10,FALSE),IF($C16="","",$C16/$P$5)))</f>
        <v>1.6202548463299318</v>
      </c>
      <c r="E16">
        <f>IF($B16="","",IFERROR(VLOOKUP($B16,'Dune Bugger'!$B$2:$M$36,11,FALSE),Control!$B$10))</f>
        <v>0</v>
      </c>
      <c r="F16">
        <f>IF($B16="","",IFERROR(VLOOKUP($B16,'Dune Bugger'!$B$2:$M$36,12,FALSE),0))</f>
        <v>0</v>
      </c>
      <c r="G16" s="5">
        <f t="shared" si="0"/>
        <v>2.1235269704651529E-2</v>
      </c>
      <c r="H16" s="3">
        <f>IF($D16="","",IF($C16="",Control!$B$9,MAX(MIN(($G16-$C16)/$G16,Control!$B$7),Control!$B$8)))</f>
        <v>2.8193455458977071E-2</v>
      </c>
      <c r="I16" s="2">
        <f t="shared" si="1"/>
        <v>1.5745742634877371</v>
      </c>
      <c r="J16" s="2">
        <f>IF($D16="","",IF($E16&gt;0,Control!$B$6,Control!$B$5))</f>
        <v>0.33333333333333331</v>
      </c>
      <c r="K16" s="2">
        <f t="shared" si="2"/>
        <v>1.6050279853825336</v>
      </c>
      <c r="L16">
        <f>IF($B16="","",IF($C16="",IF($M16&gt;=Control!$B$11,Control!$B$10,$E16),MAX($E16-1,0)))</f>
        <v>0</v>
      </c>
      <c r="M16">
        <f t="shared" si="3"/>
        <v>0</v>
      </c>
    </row>
    <row r="17" spans="1:13" x14ac:dyDescent="0.2">
      <c r="A17">
        <v>5</v>
      </c>
      <c r="B17" t="s">
        <v>53</v>
      </c>
      <c r="C17" s="5">
        <v>1.982638888888889E-2</v>
      </c>
      <c r="D17" s="2">
        <f>IF($B17="","",IFERROR(VLOOKUP($B17,'Dune Bugger'!$B$2:$M$36,10,FALSE),IF($C17="","",$C17/$P$5)))</f>
        <v>1.4642061054034803</v>
      </c>
      <c r="E17">
        <f>IF($B17="","",IFERROR(VLOOKUP($B17,'Dune Bugger'!$B$2:$M$36,11,FALSE),Control!$B$10))</f>
        <v>0</v>
      </c>
      <c r="F17">
        <f>IF($B17="","",IFERROR(VLOOKUP($B17,'Dune Bugger'!$B$2:$M$36,12,FALSE),0))</f>
        <v>0</v>
      </c>
      <c r="G17" s="5">
        <f t="shared" si="0"/>
        <v>1.919007471069703E-2</v>
      </c>
      <c r="H17" s="3">
        <f>IF($D17="","",IF($C17="",Control!$B$9,MAX(MIN(($G17-$C17)/$G17,Control!$B$7),Control!$B$8)))</f>
        <v>-3.3158504476127025E-2</v>
      </c>
      <c r="I17" s="2">
        <f t="shared" si="1"/>
        <v>1.5127569901034741</v>
      </c>
      <c r="J17" s="2">
        <f>IF($D17="","",IF($E17&gt;0,Control!$B$6,Control!$B$5))</f>
        <v>0.33333333333333331</v>
      </c>
      <c r="K17" s="2">
        <f t="shared" si="2"/>
        <v>1.4803897336368115</v>
      </c>
      <c r="L17">
        <f>IF($B17="","",IF($C17="",IF($M17&gt;=Control!$B$11,Control!$B$10,$E17),MAX($E17-1,0)))</f>
        <v>0</v>
      </c>
      <c r="M17">
        <f t="shared" si="3"/>
        <v>0</v>
      </c>
    </row>
    <row r="18" spans="1:13" x14ac:dyDescent="0.2">
      <c r="A18">
        <v>5</v>
      </c>
      <c r="B18" t="s">
        <v>51</v>
      </c>
      <c r="C18" s="5"/>
      <c r="D18" s="2">
        <f>IF($B18="","",IFERROR(VLOOKUP($B18,'Dune Bugger'!$B$2:$M$36,10,FALSE),IF($C18="","",$C18/$P$5)))</f>
        <v>1.0980792182479766</v>
      </c>
      <c r="E18">
        <f>IF($B18="","",IFERROR(VLOOKUP($B18,'Dune Bugger'!$B$2:$M$36,11,FALSE),Control!$B$10))</f>
        <v>0</v>
      </c>
      <c r="F18">
        <f>IF($B18="","",IFERROR(VLOOKUP($B18,'Dune Bugger'!$B$2:$M$36,12,FALSE),0))</f>
        <v>0</v>
      </c>
      <c r="G18" s="5">
        <f t="shared" si="0"/>
        <v>1.439156834456427E-2</v>
      </c>
      <c r="H18" s="3">
        <f>IF($D18="","",IF($C18="",Control!$B$9,MAX(MIN(($G18-$C18)/$G18,Control!$B$7),Control!$B$8)))</f>
        <v>-7.4999999999999997E-2</v>
      </c>
      <c r="I18" s="2">
        <f t="shared" si="1"/>
        <v>1.0980792182479766</v>
      </c>
      <c r="J18" s="2">
        <f>IF($D18="","",IF($E18&gt;0,Control!$B$6,Control!$B$5))</f>
        <v>0.33333333333333331</v>
      </c>
      <c r="K18" s="2">
        <f t="shared" si="2"/>
        <v>1.0980792182479766</v>
      </c>
      <c r="L18">
        <f>IF($B18="","",IF($C18="",IF($M18&gt;=Control!$B$11,Control!$B$10,$E18),MAX($E18-1,0)))</f>
        <v>0</v>
      </c>
      <c r="M18">
        <f t="shared" si="3"/>
        <v>1</v>
      </c>
    </row>
    <row r="19" spans="1:13" x14ac:dyDescent="0.2">
      <c r="A19">
        <v>5</v>
      </c>
      <c r="B19" t="s">
        <v>52</v>
      </c>
      <c r="C19" s="5"/>
      <c r="D19" s="2">
        <f>IF($B19="","",IFERROR(VLOOKUP($B19,'Dune Bugger'!$B$2:$M$36,10,FALSE),IF($C19="","",$C19/$P$5)))</f>
        <v>1.4128082545357437</v>
      </c>
      <c r="E19">
        <f>IF($B19="","",IFERROR(VLOOKUP($B19,'Dune Bugger'!$B$2:$M$36,11,FALSE),Control!$B$10))</f>
        <v>0</v>
      </c>
      <c r="F19">
        <f>IF($B19="","",IFERROR(VLOOKUP($B19,'Dune Bugger'!$B$2:$M$36,12,FALSE),0))</f>
        <v>0</v>
      </c>
      <c r="G19" s="5">
        <f t="shared" si="0"/>
        <v>1.8516447825464685E-2</v>
      </c>
      <c r="H19" s="3">
        <f>IF($D19="","",IF($C19="",Control!$B$9,MAX(MIN(($G19-$C19)/$G19,Control!$B$7),Control!$B$8)))</f>
        <v>-7.4999999999999997E-2</v>
      </c>
      <c r="I19" s="2">
        <f t="shared" si="1"/>
        <v>1.4128082545357437</v>
      </c>
      <c r="J19" s="2">
        <f>IF($D19="","",IF($E19&gt;0,Control!$B$6,Control!$B$5))</f>
        <v>0.33333333333333331</v>
      </c>
      <c r="K19" s="2">
        <f t="shared" si="2"/>
        <v>1.4128082545357437</v>
      </c>
      <c r="L19">
        <f>IF($B19="","",IF($C19="",IF($M19&gt;=Control!$B$11,Control!$B$10,$E19),MAX($E19-1,0)))</f>
        <v>0</v>
      </c>
      <c r="M19">
        <f t="shared" si="3"/>
        <v>1</v>
      </c>
    </row>
    <row r="20" spans="1:13" x14ac:dyDescent="0.2">
      <c r="A20">
        <v>5</v>
      </c>
      <c r="B20" t="s">
        <v>54</v>
      </c>
      <c r="C20" s="5"/>
      <c r="D20" s="2">
        <f>IF($B20="","",IFERROR(VLOOKUP($B20,'Dune Bugger'!$B$2:$M$36,10,FALSE),IF($C20="","",$C20/$P$5)))</f>
        <v>1.6933397193435091</v>
      </c>
      <c r="E20">
        <f>IF($B20="","",IFERROR(VLOOKUP($B20,'Dune Bugger'!$B$2:$M$36,11,FALSE),Control!$B$10))</f>
        <v>0</v>
      </c>
      <c r="F20">
        <f>IF($B20="","",IFERROR(VLOOKUP($B20,'Dune Bugger'!$B$2:$M$36,12,FALSE),0))</f>
        <v>0</v>
      </c>
      <c r="G20" s="5">
        <f t="shared" si="0"/>
        <v>2.2193129508798346E-2</v>
      </c>
      <c r="H20" s="3">
        <f>IF($D20="","",IF($C20="",Control!$B$9,MAX(MIN(($G20-$C20)/$G20,Control!$B$7),Control!$B$8)))</f>
        <v>-7.4999999999999997E-2</v>
      </c>
      <c r="I20" s="2">
        <f t="shared" si="1"/>
        <v>1.6933397193435091</v>
      </c>
      <c r="J20" s="2">
        <f>IF($D20="","",IF($E20&gt;0,Control!$B$6,Control!$B$5))</f>
        <v>0.33333333333333331</v>
      </c>
      <c r="K20" s="2">
        <f t="shared" si="2"/>
        <v>1.6933397193435091</v>
      </c>
      <c r="L20">
        <f>IF($B20="","",IF($C20="",IF($M20&gt;=Control!$B$11,Control!$B$10,$E20),MAX($E20-1,0)))</f>
        <v>0</v>
      </c>
      <c r="M20">
        <f t="shared" si="3"/>
        <v>1</v>
      </c>
    </row>
    <row r="21" spans="1:13" x14ac:dyDescent="0.2">
      <c r="A21">
        <v>6</v>
      </c>
      <c r="B21" t="s">
        <v>55</v>
      </c>
      <c r="C21" s="5">
        <v>1.7777777777777781E-2</v>
      </c>
      <c r="D21" s="2">
        <f>IF($B21="","",IFERROR(VLOOKUP($B21,'Dune Bugger'!$B$2:$M$36,10,FALSE),IF($C21="","",$C21/$P$5)))</f>
        <v>1.3912954773404369</v>
      </c>
      <c r="E21">
        <f>IF($B21="","",IFERROR(VLOOKUP($B21,'Dune Bugger'!$B$2:$M$36,11,FALSE),Control!$B$10))</f>
        <v>0</v>
      </c>
      <c r="F21">
        <f>IF($B21="","",IFERROR(VLOOKUP($B21,'Dune Bugger'!$B$2:$M$36,12,FALSE),0))</f>
        <v>0</v>
      </c>
      <c r="G21" s="5">
        <f t="shared" si="0"/>
        <v>1.823449858342218E-2</v>
      </c>
      <c r="H21" s="3">
        <f>IF($D21="","",IF($C21="",Control!$B$9,MAX(MIN(($G21-$C21)/$G21,Control!$B$7),Control!$B$8)))</f>
        <v>2.5047072369712705E-2</v>
      </c>
      <c r="I21" s="2">
        <f t="shared" si="1"/>
        <v>1.356447598831837</v>
      </c>
      <c r="J21" s="2">
        <f>IF($D21="","",IF($E21&gt;0,Control!$B$6,Control!$B$5))</f>
        <v>0.33333333333333331</v>
      </c>
      <c r="K21" s="2">
        <f t="shared" si="2"/>
        <v>1.3796795178375703</v>
      </c>
      <c r="L21">
        <f>IF($B21="","",IF($C21="",IF($M21&gt;=Control!$B$11,Control!$B$10,$E21),MAX($E21-1,0)))</f>
        <v>0</v>
      </c>
      <c r="M21">
        <f t="shared" si="3"/>
        <v>0</v>
      </c>
    </row>
    <row r="22" spans="1:13" x14ac:dyDescent="0.2">
      <c r="A22">
        <v>6</v>
      </c>
      <c r="B22" t="s">
        <v>56</v>
      </c>
      <c r="C22" s="5">
        <v>1.8402777777777778E-2</v>
      </c>
      <c r="D22" s="2">
        <f>IF($B22="","",IFERROR(VLOOKUP($B22,'Dune Bugger'!$B$2:$M$36,10,FALSE),IF($C22="","",$C22/$P$5)))</f>
        <v>1.3895236014381174</v>
      </c>
      <c r="E22">
        <f>IF($B22="","",IFERROR(VLOOKUP($B22,'Dune Bugger'!$B$2:$M$36,11,FALSE),Control!$B$10))</f>
        <v>0</v>
      </c>
      <c r="F22">
        <f>IF($B22="","",IFERROR(VLOOKUP($B22,'Dune Bugger'!$B$2:$M$36,12,FALSE),0))</f>
        <v>0</v>
      </c>
      <c r="G22" s="5">
        <f t="shared" si="0"/>
        <v>1.8211276148535377E-2</v>
      </c>
      <c r="H22" s="3">
        <f>IF($D22="","",IF($C22="",Control!$B$9,MAX(MIN(($G22-$C22)/$G22,Control!$B$7),Control!$B$8)))</f>
        <v>-1.051555243468222E-2</v>
      </c>
      <c r="I22" s="2">
        <f t="shared" si="1"/>
        <v>1.4041352097282684</v>
      </c>
      <c r="J22" s="2">
        <f>IF($D22="","",IF($E22&gt;0,Control!$B$6,Control!$B$5))</f>
        <v>0.33333333333333331</v>
      </c>
      <c r="K22" s="2">
        <f t="shared" si="2"/>
        <v>1.3943941375348343</v>
      </c>
      <c r="L22">
        <f>IF($B22="","",IF($C22="",IF($M22&gt;=Control!$B$11,Control!$B$10,$E22),MAX($E22-1,0)))</f>
        <v>0</v>
      </c>
      <c r="M22">
        <f t="shared" si="3"/>
        <v>0</v>
      </c>
    </row>
    <row r="23" spans="1:13" x14ac:dyDescent="0.2">
      <c r="A23">
        <v>6</v>
      </c>
      <c r="B23" t="s">
        <v>57</v>
      </c>
      <c r="C23" s="5">
        <v>1.9282407407407411E-2</v>
      </c>
      <c r="D23" s="2">
        <f>IF($B23="","",IFERROR(VLOOKUP($B23,'Dune Bugger'!$B$2:$M$36,10,FALSE),IF($C23="","",$C23/$P$5)))</f>
        <v>1.5592988182912271</v>
      </c>
      <c r="E23">
        <f>IF($B23="","",IFERROR(VLOOKUP($B23,'Dune Bugger'!$B$2:$M$36,11,FALSE),Control!$B$10))</f>
        <v>0</v>
      </c>
      <c r="F23">
        <f>IF($B23="","",IFERROR(VLOOKUP($B23,'Dune Bugger'!$B$2:$M$36,12,FALSE),0))</f>
        <v>0</v>
      </c>
      <c r="G23" s="5">
        <f t="shared" si="0"/>
        <v>2.0436372112425091E-2</v>
      </c>
      <c r="H23" s="3">
        <f>IF($D23="","",IF($C23="",Control!$B$9,MAX(MIN(($G23-$C23)/$G23,Control!$B$7),Control!$B$8)))</f>
        <v>0.05</v>
      </c>
      <c r="I23" s="2">
        <f t="shared" si="1"/>
        <v>1.471251106545469</v>
      </c>
      <c r="J23" s="2">
        <f>IF($D23="","",IF($E23&gt;0,Control!$B$6,Control!$B$5))</f>
        <v>0.33333333333333331</v>
      </c>
      <c r="K23" s="2">
        <f t="shared" si="2"/>
        <v>1.5299495810426411</v>
      </c>
      <c r="L23">
        <f>IF($B23="","",IF($C23="",IF($M23&gt;=Control!$B$11,Control!$B$10,$E23),MAX($E23-1,0)))</f>
        <v>0</v>
      </c>
      <c r="M23">
        <f t="shared" si="3"/>
        <v>0</v>
      </c>
    </row>
    <row r="24" spans="1:13" x14ac:dyDescent="0.2">
      <c r="A24">
        <v>6</v>
      </c>
      <c r="B24" t="s">
        <v>58</v>
      </c>
      <c r="C24" s="5">
        <v>2.194444444444444E-2</v>
      </c>
      <c r="D24" s="2">
        <f>IF($B24="","",IFERROR(VLOOKUP($B24,'Dune Bugger'!$B$2:$M$36,10,FALSE),IF($C24="","",$C24/$P$5)))</f>
        <v>1.7794578789095858</v>
      </c>
      <c r="E24">
        <f>IF($B24="","",IFERROR(VLOOKUP($B24,'Dune Bugger'!$B$2:$M$36,11,FALSE),Control!$B$10))</f>
        <v>0</v>
      </c>
      <c r="F24">
        <f>IF($B24="","",IFERROR(VLOOKUP($B24,'Dune Bugger'!$B$2:$M$36,12,FALSE),0))</f>
        <v>0</v>
      </c>
      <c r="G24" s="5">
        <f t="shared" si="0"/>
        <v>2.3321805253232113E-2</v>
      </c>
      <c r="H24" s="3">
        <f>IF($D24="","",IF($C24="",Control!$B$9,MAX(MIN(($G24-$C24)/$G24,Control!$B$7),Control!$B$8)))</f>
        <v>0.05</v>
      </c>
      <c r="I24" s="2">
        <f t="shared" si="1"/>
        <v>1.6743650048080481</v>
      </c>
      <c r="J24" s="2">
        <f>IF($D24="","",IF($E24&gt;0,Control!$B$6,Control!$B$5))</f>
        <v>0.33333333333333331</v>
      </c>
      <c r="K24" s="2">
        <f t="shared" si="2"/>
        <v>1.7444269208757399</v>
      </c>
      <c r="L24">
        <f>IF($B24="","",IF($C24="",IF($M24&gt;=Control!$B$11,Control!$B$10,$E24),MAX($E24-1,0)))</f>
        <v>0</v>
      </c>
      <c r="M24">
        <f t="shared" si="3"/>
        <v>0</v>
      </c>
    </row>
    <row r="25" spans="1:13" x14ac:dyDescent="0.2">
      <c r="A25">
        <v>6</v>
      </c>
      <c r="B25" t="s">
        <v>59</v>
      </c>
      <c r="C25" s="5"/>
      <c r="D25" s="2">
        <f>IF($B25="","",IFERROR(VLOOKUP($B25,'Dune Bugger'!$B$2:$M$36,10,FALSE),IF($C25="","",$C25/$P$5)))</f>
        <v>1.747798496826884</v>
      </c>
      <c r="E25">
        <f>IF($B25="","",IFERROR(VLOOKUP($B25,'Dune Bugger'!$B$2:$M$36,11,FALSE),Control!$B$10))</f>
        <v>0</v>
      </c>
      <c r="F25">
        <f>IF($B25="","",IFERROR(VLOOKUP($B25,'Dune Bugger'!$B$2:$M$36,12,FALSE),0))</f>
        <v>0</v>
      </c>
      <c r="G25" s="5">
        <f t="shared" si="0"/>
        <v>2.2906873294391433E-2</v>
      </c>
      <c r="H25" s="3">
        <f>IF($D25="","",IF($C25="",Control!$B$9,MAX(MIN(($G25-$C25)/$G25,Control!$B$7),Control!$B$8)))</f>
        <v>-7.4999999999999997E-2</v>
      </c>
      <c r="I25" s="2">
        <f t="shared" si="1"/>
        <v>1.747798496826884</v>
      </c>
      <c r="J25" s="2">
        <f>IF($D25="","",IF($E25&gt;0,Control!$B$6,Control!$B$5))</f>
        <v>0.33333333333333331</v>
      </c>
      <c r="K25" s="2">
        <f t="shared" si="2"/>
        <v>1.747798496826884</v>
      </c>
      <c r="L25">
        <f>IF($B25="","",IF($C25="",IF($M25&gt;=Control!$B$11,Control!$B$10,$E25),MAX($E25-1,0)))</f>
        <v>0</v>
      </c>
      <c r="M25">
        <f t="shared" si="3"/>
        <v>1</v>
      </c>
    </row>
    <row r="26" spans="1:13" x14ac:dyDescent="0.2">
      <c r="A26">
        <v>7</v>
      </c>
      <c r="B26" t="s">
        <v>61</v>
      </c>
      <c r="C26" s="5">
        <v>1.503472222222222E-2</v>
      </c>
      <c r="D26" s="2">
        <f>IF($B26="","",IFERROR(VLOOKUP($B26,'Dune Bugger'!$B$2:$M$36,10,FALSE),IF($C26="","",$C26/$P$5)))</f>
        <v>1.1139608269878116</v>
      </c>
      <c r="E26">
        <f>IF($B26="","",IFERROR(VLOOKUP($B26,'Dune Bugger'!$B$2:$M$36,11,FALSE),Control!$B$10))</f>
        <v>0</v>
      </c>
      <c r="F26">
        <f>IF($B26="","",IFERROR(VLOOKUP($B26,'Dune Bugger'!$B$2:$M$36,12,FALSE),0))</f>
        <v>0</v>
      </c>
      <c r="G26" s="5">
        <f t="shared" si="0"/>
        <v>1.459971476405998E-2</v>
      </c>
      <c r="H26" s="3">
        <f>IF($D26="","",IF($C26="",Control!$B$9,MAX(MIN(($G26-$C26)/$G26,Control!$B$7),Control!$B$8)))</f>
        <v>-2.9795613489182346E-2</v>
      </c>
      <c r="I26" s="2">
        <f t="shared" si="1"/>
        <v>1.1471519732308304</v>
      </c>
      <c r="J26" s="2">
        <f>IF($D26="","",IF($E26&gt;0,Control!$B$6,Control!$B$5))</f>
        <v>0.33333333333333331</v>
      </c>
      <c r="K26" s="2">
        <f t="shared" si="2"/>
        <v>1.1250245424021512</v>
      </c>
      <c r="L26">
        <f>IF($B26="","",IF($C26="",IF($M26&gt;=Control!$B$11,Control!$B$10,$E26),MAX($E26-1,0)))</f>
        <v>0</v>
      </c>
      <c r="M26">
        <f t="shared" si="3"/>
        <v>0</v>
      </c>
    </row>
    <row r="27" spans="1:13" x14ac:dyDescent="0.2">
      <c r="A27">
        <v>7</v>
      </c>
      <c r="B27" t="s">
        <v>62</v>
      </c>
      <c r="C27" s="5"/>
      <c r="D27" s="2">
        <f>IF($B27="","",IFERROR(VLOOKUP($B27,'Dune Bugger'!$B$2:$M$36,10,FALSE),IF($C27="","",$C27/$P$5)))</f>
        <v>1.3913647059147982</v>
      </c>
      <c r="E27">
        <f>IF($B27="","",IFERROR(VLOOKUP($B27,'Dune Bugger'!$B$2:$M$36,11,FALSE),Control!$B$10))</f>
        <v>0</v>
      </c>
      <c r="F27">
        <f>IF($B27="","",IFERROR(VLOOKUP($B27,'Dune Bugger'!$B$2:$M$36,12,FALSE),0))</f>
        <v>0</v>
      </c>
      <c r="G27" s="5">
        <f t="shared" si="0"/>
        <v>1.8235405902077121E-2</v>
      </c>
      <c r="H27" s="3">
        <f>IF($D27="","",IF($C27="",Control!$B$9,MAX(MIN(($G27-$C27)/$G27,Control!$B$7),Control!$B$8)))</f>
        <v>-7.4999999999999997E-2</v>
      </c>
      <c r="I27" s="2">
        <f t="shared" si="1"/>
        <v>1.3913647059147982</v>
      </c>
      <c r="J27" s="2">
        <f>IF($D27="","",IF($E27&gt;0,Control!$B$6,Control!$B$5))</f>
        <v>0.33333333333333331</v>
      </c>
      <c r="K27" s="2">
        <f t="shared" si="2"/>
        <v>1.3913647059147982</v>
      </c>
      <c r="L27">
        <f>IF($B27="","",IF($C27="",IF($M27&gt;=Control!$B$11,Control!$B$10,$E27),MAX($E27-1,0)))</f>
        <v>0</v>
      </c>
      <c r="M27">
        <f t="shared" si="3"/>
        <v>1</v>
      </c>
    </row>
    <row r="28" spans="1:13" x14ac:dyDescent="0.2">
      <c r="A28">
        <v>7</v>
      </c>
      <c r="B28" t="s">
        <v>64</v>
      </c>
      <c r="C28" s="5"/>
      <c r="D28" s="2">
        <f>IF($B28="","",IFERROR(VLOOKUP($B28,'Dune Bugger'!$B$2:$M$36,10,FALSE),IF($C28="","",$C28/$P$5)))</f>
        <v>1.4947421284260105</v>
      </c>
      <c r="E28">
        <f>IF($B28="","",IFERROR(VLOOKUP($B28,'Dune Bugger'!$B$2:$M$36,11,FALSE),Control!$B$10))</f>
        <v>0</v>
      </c>
      <c r="F28">
        <f>IF($B28="","",IFERROR(VLOOKUP($B28,'Dune Bugger'!$B$2:$M$36,12,FALSE),0))</f>
        <v>0</v>
      </c>
      <c r="G28" s="5">
        <f t="shared" si="0"/>
        <v>1.9590283780313252E-2</v>
      </c>
      <c r="H28" s="3">
        <f>IF($D28="","",IF($C28="",Control!$B$9,MAX(MIN(($G28-$C28)/$G28,Control!$B$7),Control!$B$8)))</f>
        <v>-7.4999999999999997E-2</v>
      </c>
      <c r="I28" s="2">
        <f t="shared" si="1"/>
        <v>1.4947421284260105</v>
      </c>
      <c r="J28" s="2">
        <f>IF($D28="","",IF($E28&gt;0,Control!$B$6,Control!$B$5))</f>
        <v>0.33333333333333331</v>
      </c>
      <c r="K28" s="2">
        <f t="shared" si="2"/>
        <v>1.4947421284260105</v>
      </c>
      <c r="L28">
        <f>IF($B28="","",IF($C28="",IF($M28&gt;=Control!$B$11,Control!$B$10,$E28),MAX($E28-1,0)))</f>
        <v>0</v>
      </c>
      <c r="M28">
        <f t="shared" si="3"/>
        <v>1</v>
      </c>
    </row>
    <row r="29" spans="1:13" x14ac:dyDescent="0.2">
      <c r="A29">
        <v>7</v>
      </c>
      <c r="B29" t="s">
        <v>63</v>
      </c>
      <c r="C29" s="5"/>
      <c r="D29" s="2">
        <f>IF($B29="","",IFERROR(VLOOKUP($B29,'Dune Bugger'!$B$2:$M$36,10,FALSE),IF($C29="","",$C29/$P$5)))</f>
        <v>1.3904805549233448</v>
      </c>
      <c r="E29">
        <f>IF($B29="","",IFERROR(VLOOKUP($B29,'Dune Bugger'!$B$2:$M$36,11,FALSE),Control!$B$10))</f>
        <v>0</v>
      </c>
      <c r="F29">
        <f>IF($B29="","",IFERROR(VLOOKUP($B29,'Dune Bugger'!$B$2:$M$36,12,FALSE),0))</f>
        <v>0</v>
      </c>
      <c r="G29" s="5">
        <f t="shared" si="0"/>
        <v>1.8223818104758892E-2</v>
      </c>
      <c r="H29" s="3">
        <f>IF($D29="","",IF($C29="",Control!$B$9,MAX(MIN(($G29-$C29)/$G29,Control!$B$7),Control!$B$8)))</f>
        <v>-7.4999999999999997E-2</v>
      </c>
      <c r="I29" s="2">
        <f t="shared" si="1"/>
        <v>1.3904805549233448</v>
      </c>
      <c r="J29" s="2">
        <f>IF($D29="","",IF($E29&gt;0,Control!$B$6,Control!$B$5))</f>
        <v>0.33333333333333331</v>
      </c>
      <c r="K29" s="2">
        <f t="shared" si="2"/>
        <v>1.3904805549233448</v>
      </c>
      <c r="L29">
        <f>IF($B29="","",IF($C29="",IF($M29&gt;=Control!$B$11,Control!$B$10,$E29),MAX($E29-1,0)))</f>
        <v>0</v>
      </c>
      <c r="M29">
        <f t="shared" si="3"/>
        <v>1</v>
      </c>
    </row>
    <row r="30" spans="1:13" x14ac:dyDescent="0.2">
      <c r="A30">
        <v>7</v>
      </c>
      <c r="B30" t="s">
        <v>60</v>
      </c>
      <c r="C30" s="5"/>
      <c r="D30" s="2">
        <f>IF($B30="","",IFERROR(VLOOKUP($B30,'Dune Bugger'!$B$2:$M$36,10,FALSE),IF($C30="","",$C30/$P$5)))</f>
        <v>1.0971076153272723</v>
      </c>
      <c r="E30">
        <f>IF($B30="","",IFERROR(VLOOKUP($B30,'Dune Bugger'!$B$2:$M$36,11,FALSE),Control!$B$10))</f>
        <v>0</v>
      </c>
      <c r="F30">
        <f>IF($B30="","",IFERROR(VLOOKUP($B30,'Dune Bugger'!$B$2:$M$36,12,FALSE),0))</f>
        <v>0</v>
      </c>
      <c r="G30" s="5">
        <f t="shared" si="0"/>
        <v>1.4378834390943505E-2</v>
      </c>
      <c r="H30" s="3">
        <f>IF($D30="","",IF($C30="",Control!$B$9,MAX(MIN(($G30-$C30)/$G30,Control!$B$7),Control!$B$8)))</f>
        <v>-7.4999999999999997E-2</v>
      </c>
      <c r="I30" s="2">
        <f t="shared" si="1"/>
        <v>1.0971076153272723</v>
      </c>
      <c r="J30" s="2">
        <f>IF($D30="","",IF($E30&gt;0,Control!$B$6,Control!$B$5))</f>
        <v>0.33333333333333331</v>
      </c>
      <c r="K30" s="2">
        <f t="shared" si="2"/>
        <v>1.0971076153272723</v>
      </c>
      <c r="L30">
        <f>IF($B30="","",IF($C30="",IF($M30&gt;=Control!$B$11,Control!$B$10,$E30),MAX($E30-1,0)))</f>
        <v>0</v>
      </c>
      <c r="M30">
        <f t="shared" si="3"/>
        <v>1</v>
      </c>
    </row>
    <row r="31" spans="1:13" x14ac:dyDescent="0.2">
      <c r="C31" s="5"/>
      <c r="D31" s="2" t="str">
        <f>IF($B31="","",IFERROR(VLOOKUP($B31,'Dune Bugger'!$B$2:$M$36,10,FALSE),IF($C31="","",$C31/$P$5)))</f>
        <v/>
      </c>
      <c r="E31" t="str">
        <f>IF($B31="","",IFERROR(VLOOKUP($B31,'Dune Bugger'!$B$2:$M$36,11,FALSE),Control!$B$10))</f>
        <v/>
      </c>
      <c r="F31" t="str">
        <f>IF($B31="","",IFERROR(VLOOKUP($B31,'Dune Bugger'!$B$2:$M$36,12,FALSE),0))</f>
        <v/>
      </c>
      <c r="G31" s="5" t="str">
        <f t="shared" si="0"/>
        <v/>
      </c>
      <c r="H31" s="3" t="str">
        <f>IF($D31="","",IF($C31="",Control!$B$9,MAX(MIN(($G31-$C31)/$G31,Control!$B$7),Control!$B$8)))</f>
        <v/>
      </c>
      <c r="I31" s="2" t="str">
        <f t="shared" si="1"/>
        <v/>
      </c>
      <c r="J31" s="2" t="str">
        <f>IF($D31="","",IF($E31&gt;0,Control!$B$6,Control!$B$5))</f>
        <v/>
      </c>
      <c r="K31" s="2" t="str">
        <f t="shared" si="2"/>
        <v/>
      </c>
      <c r="L31" t="str">
        <f>IF($B31="","",IF($C31="",IF($M31&gt;=Control!$B$11,Control!$B$10,$E31),MAX($E31-1,0)))</f>
        <v/>
      </c>
      <c r="M31" t="str">
        <f t="shared" si="3"/>
        <v/>
      </c>
    </row>
    <row r="32" spans="1:13" x14ac:dyDescent="0.2">
      <c r="C32" s="5"/>
      <c r="D32" s="2" t="str">
        <f>IF($B32="","",IFERROR(VLOOKUP($B32,'Dune Bugger'!$B$2:$M$36,10,FALSE),IF($C32="","",$C32/$P$5)))</f>
        <v/>
      </c>
      <c r="E32" t="str">
        <f>IF($B32="","",IFERROR(VLOOKUP($B32,'Dune Bugger'!$B$2:$M$36,11,FALSE),Control!$B$10))</f>
        <v/>
      </c>
      <c r="F32" t="str">
        <f>IF($B32="","",IFERROR(VLOOKUP($B32,'Dune Bugger'!$B$2:$M$36,12,FALSE),0))</f>
        <v/>
      </c>
      <c r="G32" s="5" t="str">
        <f t="shared" si="0"/>
        <v/>
      </c>
      <c r="H32" s="3" t="str">
        <f>IF($D32="","",IF($C32="",Control!$B$9,MAX(MIN(($G32-$C32)/$G32,Control!$B$7),Control!$B$8)))</f>
        <v/>
      </c>
      <c r="I32" s="2" t="str">
        <f t="shared" si="1"/>
        <v/>
      </c>
      <c r="J32" s="2" t="str">
        <f>IF($D32="","",IF($E32&gt;0,Control!$B$6,Control!$B$5))</f>
        <v/>
      </c>
      <c r="K32" s="2" t="str">
        <f t="shared" si="2"/>
        <v/>
      </c>
      <c r="L32" t="str">
        <f>IF($B32="","",IF($C32="",IF($M32&gt;=Control!$B$11,Control!$B$10,$E32),MAX($E32-1,0)))</f>
        <v/>
      </c>
      <c r="M32" t="str">
        <f t="shared" si="3"/>
        <v/>
      </c>
    </row>
    <row r="33" spans="3:13" x14ac:dyDescent="0.2">
      <c r="C33" s="5"/>
      <c r="D33" s="2" t="str">
        <f>IF($B33="","",IFERROR(VLOOKUP($B33,'Dune Bugger'!$B$2:$M$36,10,FALSE),IF($C33="","",$C33/$P$5)))</f>
        <v/>
      </c>
      <c r="E33" t="str">
        <f>IF($B33="","",IFERROR(VLOOKUP($B33,'Dune Bugger'!$B$2:$M$36,11,FALSE),Control!$B$10))</f>
        <v/>
      </c>
      <c r="F33" t="str">
        <f>IF($B33="","",IFERROR(VLOOKUP($B33,'Dune Bugger'!$B$2:$M$36,12,FALSE),0))</f>
        <v/>
      </c>
      <c r="G33" s="5" t="str">
        <f t="shared" si="0"/>
        <v/>
      </c>
      <c r="H33" s="3" t="str">
        <f>IF($D33="","",IF($C33="",Control!$B$9,MAX(MIN(($G33-$C33)/$G33,Control!$B$7),Control!$B$8)))</f>
        <v/>
      </c>
      <c r="I33" s="2" t="str">
        <f t="shared" si="1"/>
        <v/>
      </c>
      <c r="J33" s="2" t="str">
        <f>IF($D33="","",IF($E33&gt;0,Control!$B$6,Control!$B$5))</f>
        <v/>
      </c>
      <c r="K33" s="2" t="str">
        <f t="shared" si="2"/>
        <v/>
      </c>
      <c r="L33" t="str">
        <f>IF($B33="","",IF($C33="",IF($M33&gt;=Control!$B$11,Control!$B$10,$E33),MAX($E33-1,0)))</f>
        <v/>
      </c>
      <c r="M33" t="str">
        <f t="shared" si="3"/>
        <v/>
      </c>
    </row>
    <row r="34" spans="3:13" x14ac:dyDescent="0.2">
      <c r="C34" s="5"/>
      <c r="D34" s="2" t="str">
        <f>IF($B34="","",IFERROR(VLOOKUP($B34,'Dune Bugger'!$B$2:$M$36,10,FALSE),IF($C34="","",$C34/$P$5)))</f>
        <v/>
      </c>
      <c r="E34" t="str">
        <f>IF($B34="","",IFERROR(VLOOKUP($B34,'Dune Bugger'!$B$2:$M$36,11,FALSE),Control!$B$10))</f>
        <v/>
      </c>
      <c r="F34" t="str">
        <f>IF($B34="","",IFERROR(VLOOKUP($B34,'Dune Bugger'!$B$2:$M$36,12,FALSE),0))</f>
        <v/>
      </c>
      <c r="G34" s="5" t="str">
        <f t="shared" si="0"/>
        <v/>
      </c>
      <c r="H34" s="3" t="str">
        <f>IF($D34="","",IF($C34="",Control!$B$9,MAX(MIN(($G34-$C34)/$G34,Control!$B$7),Control!$B$8)))</f>
        <v/>
      </c>
      <c r="I34" s="2" t="str">
        <f t="shared" si="1"/>
        <v/>
      </c>
      <c r="J34" s="2" t="str">
        <f>IF($D34="","",IF($E34&gt;0,Control!$B$6,Control!$B$5))</f>
        <v/>
      </c>
      <c r="K34" s="2" t="str">
        <f t="shared" si="2"/>
        <v/>
      </c>
      <c r="L34" t="str">
        <f>IF($B34="","",IF($C34="",IF($M34&gt;=Control!$B$11,Control!$B$10,$E34),MAX($E34-1,0)))</f>
        <v/>
      </c>
      <c r="M34" t="str">
        <f t="shared" si="3"/>
        <v/>
      </c>
    </row>
    <row r="35" spans="3:13" x14ac:dyDescent="0.2">
      <c r="C35" s="5"/>
      <c r="D35" s="2" t="str">
        <f>IF($B35="","",IFERROR(VLOOKUP($B35,'Dune Bugger'!$B$2:$M$36,10,FALSE),IF($C35="","",$C35/$P$5)))</f>
        <v/>
      </c>
      <c r="E35" t="str">
        <f>IF($B35="","",IFERROR(VLOOKUP($B35,'Dune Bugger'!$B$2:$M$36,11,FALSE),Control!$B$10))</f>
        <v/>
      </c>
      <c r="F35" t="str">
        <f>IF($B35="","",IFERROR(VLOOKUP($B35,'Dune Bugger'!$B$2:$M$36,12,FALSE),0))</f>
        <v/>
      </c>
      <c r="G35" s="5" t="str">
        <f t="shared" si="0"/>
        <v/>
      </c>
      <c r="H35" s="3" t="str">
        <f>IF($D35="","",IF($C35="",Control!$B$9,MAX(MIN(($G35-$C35)/$G35,Control!$B$7),Control!$B$8)))</f>
        <v/>
      </c>
      <c r="I35" s="2" t="str">
        <f t="shared" si="1"/>
        <v/>
      </c>
      <c r="J35" s="2" t="str">
        <f>IF($D35="","",IF($E35&gt;0,Control!$B$6,Control!$B$5))</f>
        <v/>
      </c>
      <c r="K35" s="2" t="str">
        <f t="shared" si="2"/>
        <v/>
      </c>
      <c r="L35" t="str">
        <f>IF($B35="","",IF($C35="",IF($M35&gt;=Control!$B$11,Control!$B$10,$E35),MAX($E35-1,0)))</f>
        <v/>
      </c>
      <c r="M35" t="str">
        <f t="shared" si="3"/>
        <v/>
      </c>
    </row>
    <row r="36" spans="3:13" x14ac:dyDescent="0.2">
      <c r="C36" s="5"/>
      <c r="D36" s="2" t="str">
        <f>IF($B36="","",IFERROR(VLOOKUP($B36,'Dune Bugger'!$B$2:$M$36,10,FALSE),IF($C36="","",$C36/$P$5)))</f>
        <v/>
      </c>
      <c r="E36" t="str">
        <f>IF($B36="","",IFERROR(VLOOKUP($B36,'Dune Bugger'!$B$2:$M$36,11,FALSE),Control!$B$10))</f>
        <v/>
      </c>
      <c r="F36" t="str">
        <f>IF($B36="","",IFERROR(VLOOKUP($B36,'Dune Bugger'!$B$2:$M$36,12,FALSE),0))</f>
        <v/>
      </c>
      <c r="G36" s="5" t="str">
        <f t="shared" si="0"/>
        <v/>
      </c>
      <c r="H36" s="3" t="str">
        <f>IF($D36="","",IF($C36="",Control!$B$9,MAX(MIN(($G36-$C36)/$G36,Control!$B$7),Control!$B$8)))</f>
        <v/>
      </c>
      <c r="I36" s="2" t="str">
        <f t="shared" si="1"/>
        <v/>
      </c>
      <c r="J36" s="2" t="str">
        <f>IF($D36="","",IF($E36&gt;0,Control!$B$6,Control!$B$5))</f>
        <v/>
      </c>
      <c r="K36" s="2" t="str">
        <f t="shared" si="2"/>
        <v/>
      </c>
      <c r="L36" t="str">
        <f>IF($B36="","",IF($C36="",IF($M36&gt;=Control!$B$11,Control!$B$10,$E36),MAX($E36-1,0)))</f>
        <v/>
      </c>
      <c r="M36" t="str">
        <f t="shared" si="3"/>
        <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6"/>
  <sheetViews>
    <sheetView topLeftCell="A13" workbookViewId="0">
      <selection activeCell="C24" sqref="C24"/>
    </sheetView>
  </sheetViews>
  <sheetFormatPr baseColWidth="10" defaultColWidth="8.83203125" defaultRowHeight="15" x14ac:dyDescent="0.2"/>
  <cols>
    <col min="2" max="2" width="18" customWidth="1"/>
    <col min="3" max="4" width="11" customWidth="1"/>
    <col min="5" max="6" width="13" customWidth="1"/>
    <col min="7" max="11" width="11" customWidth="1"/>
    <col min="12" max="13" width="13" customWidth="1"/>
    <col min="15" max="15" width="28" customWidth="1"/>
    <col min="16" max="16" width="11" customWidth="1"/>
    <col min="19" max="19" width="11" customWidth="1"/>
  </cols>
  <sheetData>
    <row r="1" spans="1:20" x14ac:dyDescent="0.2">
      <c r="A1" s="1" t="s">
        <v>3</v>
      </c>
      <c r="B1" s="1" t="s">
        <v>4</v>
      </c>
      <c r="C1" s="1" t="s">
        <v>65</v>
      </c>
      <c r="D1" s="1" t="s">
        <v>66</v>
      </c>
      <c r="E1" s="1" t="s">
        <v>67</v>
      </c>
      <c r="F1" s="1" t="s">
        <v>68</v>
      </c>
      <c r="G1" s="1" t="s">
        <v>7</v>
      </c>
      <c r="H1" s="1" t="s">
        <v>8</v>
      </c>
      <c r="I1" s="1" t="s">
        <v>69</v>
      </c>
      <c r="J1" s="1" t="s">
        <v>70</v>
      </c>
      <c r="K1" s="1" t="s">
        <v>71</v>
      </c>
      <c r="L1" s="1" t="s">
        <v>72</v>
      </c>
      <c r="M1" s="1" t="s">
        <v>73</v>
      </c>
      <c r="O1" s="1" t="s">
        <v>74</v>
      </c>
      <c r="R1" s="1" t="s">
        <v>3</v>
      </c>
      <c r="S1" s="1" t="s">
        <v>9</v>
      </c>
      <c r="T1" s="1" t="s">
        <v>5</v>
      </c>
    </row>
    <row r="2" spans="1:20" x14ac:dyDescent="0.2">
      <c r="A2">
        <v>1</v>
      </c>
      <c r="B2" t="s">
        <v>13</v>
      </c>
      <c r="C2" s="5">
        <v>2.3958333333333335E-2</v>
      </c>
      <c r="D2" s="2">
        <f>IF($B2="","",IFERROR(VLOOKUP($B2,'Sword in the stepping stone'!$B$2:$M$36,10,FALSE),IF($C2="","",$C2/$P$5)))</f>
        <v>1.0051073683082861</v>
      </c>
      <c r="E2">
        <f>IF($B2="","",IFERROR(VLOOKUP($B2,'Sword in the stepping stone'!$B$2:$M$36,11,FALSE),Control!$B$10))</f>
        <v>0</v>
      </c>
      <c r="F2">
        <f>IF($B2="","",IFERROR(VLOOKUP($B2,'Sword in the stepping stone'!$B$2:$M$36,12,FALSE),0))</f>
        <v>0</v>
      </c>
      <c r="G2" s="5">
        <f t="shared" ref="G2:G36" si="0">IF($D2="","",$D2*$P$5)</f>
        <v>1.247325639343067E-2</v>
      </c>
      <c r="H2" s="3">
        <f>IF($D2="","",IF($C2="",Control!$B$9,MAX(MIN(($G2-$C2)/$G2,Control!$B$7),Control!$B$8)))</f>
        <v>-0.05</v>
      </c>
      <c r="I2" s="2">
        <f t="shared" ref="I2:I36" si="1">IF($D2="","",IF($C2="",$D2,$C2/$P$5))</f>
        <v>1.9305862564006953</v>
      </c>
      <c r="J2" s="2">
        <f>IF($D2="","",IF($E2&gt;0,Control!$B$6,Control!$B$5))</f>
        <v>0.33333333333333331</v>
      </c>
      <c r="K2" s="2">
        <f t="shared" ref="K2:K36" si="2">IF($D2="","",$D2-$J2*($D2-$I2))</f>
        <v>1.3136003310057558</v>
      </c>
      <c r="L2">
        <f>IF($B2="","",IF($C2="",IF($M2&gt;=Control!$B$11,Control!$B$10,$E2),MAX($E2-1,0)))</f>
        <v>0</v>
      </c>
      <c r="M2">
        <f t="shared" ref="M2:M36" si="3">IF($B2="","",IF($C2="",$F2+1,0))</f>
        <v>0</v>
      </c>
      <c r="O2" t="s">
        <v>44</v>
      </c>
      <c r="P2" s="5">
        <f>IFERROR(IF(VLOOKUP($O2,$B$2:$C$36,2,FALSE)=0,"",VLOOKUP($O2,$B$2:$C$36,2,FALSE)/VLOOKUP($O2,$B$2:$D$36,3,FALSE)),"")</f>
        <v>1.2299433805808306E-2</v>
      </c>
      <c r="R2">
        <v>1</v>
      </c>
      <c r="S2" s="3">
        <f t="shared" ref="S2:S8" si="4">AVERAGEIF($A$2:$A$36,$R2,$H$2:$H$36)</f>
        <v>-6.25E-2</v>
      </c>
      <c r="T2">
        <f t="shared" ref="T2:T8" si="5">RANK($S2,$S$2:$S$8)</f>
        <v>6</v>
      </c>
    </row>
    <row r="3" spans="1:20" x14ac:dyDescent="0.2">
      <c r="A3">
        <v>1</v>
      </c>
      <c r="B3" t="s">
        <v>39</v>
      </c>
      <c r="C3" s="5">
        <v>2.3993055555555556E-2</v>
      </c>
      <c r="D3" s="2">
        <f>IF($B3="","",IFERROR(VLOOKUP($B3,'Sword in the stepping stone'!$B$2:$M$36,10,FALSE),IF($C3="","",$C3/$P$5)))</f>
        <v>1.0840127255132446</v>
      </c>
      <c r="E3">
        <f>IF($B3="","",IFERROR(VLOOKUP($B3,'Sword in the stepping stone'!$B$2:$M$36,11,FALSE),Control!$B$10))</f>
        <v>0</v>
      </c>
      <c r="F3">
        <f>IF($B3="","",IFERROR(VLOOKUP($B3,'Sword in the stepping stone'!$B$2:$M$36,12,FALSE),0))</f>
        <v>1</v>
      </c>
      <c r="G3" s="5">
        <f t="shared" si="0"/>
        <v>1.3452461981077706E-2</v>
      </c>
      <c r="H3" s="3">
        <f>IF($D3="","",IF($C3="",Control!$B$9,MAX(MIN(($G3-$C3)/$G3,Control!$B$7),Control!$B$8)))</f>
        <v>-0.05</v>
      </c>
      <c r="I3" s="2">
        <f t="shared" si="1"/>
        <v>1.9333842074969279</v>
      </c>
      <c r="J3" s="2">
        <f>IF($D3="","",IF($E3&gt;0,Control!$B$6,Control!$B$5))</f>
        <v>0.33333333333333331</v>
      </c>
      <c r="K3" s="2">
        <f t="shared" si="2"/>
        <v>1.367136552841139</v>
      </c>
      <c r="L3">
        <f>IF($B3="","",IF($C3="",IF($M3&gt;=Control!$B$11,Control!$B$10,$E3),MAX($E3-1,0)))</f>
        <v>0</v>
      </c>
      <c r="M3">
        <f t="shared" si="3"/>
        <v>0</v>
      </c>
      <c r="O3" t="s">
        <v>41</v>
      </c>
      <c r="P3" s="5">
        <f>IFERROR(IF(VLOOKUP($O3,$B$2:$C$36,2,FALSE)=0,"",VLOOKUP($O3,$B$2:$C$36,2,FALSE)/VLOOKUP($O3,$B$2:$D$36,3,FALSE)),"")</f>
        <v>1.2529440388011607E-2</v>
      </c>
      <c r="R3">
        <v>2</v>
      </c>
      <c r="S3" s="3">
        <f t="shared" si="4"/>
        <v>-2.7408682575516541E-2</v>
      </c>
      <c r="T3">
        <f t="shared" si="5"/>
        <v>1</v>
      </c>
    </row>
    <row r="4" spans="1:20" x14ac:dyDescent="0.2">
      <c r="A4">
        <v>1</v>
      </c>
      <c r="B4" t="s">
        <v>17</v>
      </c>
      <c r="C4" s="5"/>
      <c r="D4" s="2">
        <f>IF($B4="","",IFERROR(VLOOKUP($B4,'Sword in the stepping stone'!$B$2:$M$36,10,FALSE),IF($C4="","",$C4/$P$5)))</f>
        <v>1.168258549738598</v>
      </c>
      <c r="E4">
        <f>IF($B4="","",IFERROR(VLOOKUP($B4,'Sword in the stepping stone'!$B$2:$M$36,11,FALSE),Control!$B$10))</f>
        <v>0</v>
      </c>
      <c r="F4">
        <f>IF($B4="","",IFERROR(VLOOKUP($B4,'Sword in the stepping stone'!$B$2:$M$36,12,FALSE),0))</f>
        <v>0</v>
      </c>
      <c r="G4" s="5">
        <f t="shared" si="0"/>
        <v>1.4497942094717086E-2</v>
      </c>
      <c r="H4" s="3">
        <f>IF($D4="","",IF($C4="",Control!$B$9,MAX(MIN(($G4-$C4)/$G4,Control!$B$7),Control!$B$8)))</f>
        <v>-7.4999999999999997E-2</v>
      </c>
      <c r="I4" s="2">
        <f t="shared" si="1"/>
        <v>1.168258549738598</v>
      </c>
      <c r="J4" s="2">
        <f>IF($D4="","",IF($E4&gt;0,Control!$B$6,Control!$B$5))</f>
        <v>0.33333333333333331</v>
      </c>
      <c r="K4" s="2">
        <f t="shared" si="2"/>
        <v>1.168258549738598</v>
      </c>
      <c r="L4">
        <f>IF($B4="","",IF($C4="",IF($M4&gt;=Control!$B$11,Control!$B$10,$E4),MAX($E4-1,0)))</f>
        <v>0</v>
      </c>
      <c r="M4">
        <f t="shared" si="3"/>
        <v>1</v>
      </c>
      <c r="O4" t="s">
        <v>42</v>
      </c>
      <c r="P4" s="5">
        <f>IFERROR(IF(VLOOKUP($O4,$B$2:$C$36,2,FALSE)=0,"",VLOOKUP($O4,$B$2:$C$36,2,FALSE)/VLOOKUP($O4,$B$2:$D$36,3,FALSE)),"")</f>
        <v>1.2409874593223437E-2</v>
      </c>
      <c r="R4">
        <v>3</v>
      </c>
      <c r="S4" s="3">
        <f t="shared" si="4"/>
        <v>-4.70335239467169E-2</v>
      </c>
      <c r="T4">
        <f t="shared" si="5"/>
        <v>3</v>
      </c>
    </row>
    <row r="5" spans="1:20" x14ac:dyDescent="0.2">
      <c r="A5">
        <v>1</v>
      </c>
      <c r="B5" t="s">
        <v>40</v>
      </c>
      <c r="C5" s="5"/>
      <c r="D5" s="2">
        <f>IF($B5="","",IFERROR(VLOOKUP($B5,'Sword in the stepping stone'!$B$2:$M$36,10,FALSE),IF($C5="","",$C5/$P$5)))</f>
        <v>1.2571858340257718</v>
      </c>
      <c r="E5">
        <f>IF($B5="","",IFERROR(VLOOKUP($B5,'Sword in the stepping stone'!$B$2:$M$36,11,FALSE),Control!$B$10))</f>
        <v>0</v>
      </c>
      <c r="F5">
        <f>IF($B5="","",IFERROR(VLOOKUP($B5,'Sword in the stepping stone'!$B$2:$M$36,12,FALSE),0))</f>
        <v>0</v>
      </c>
      <c r="G5" s="5">
        <f t="shared" si="0"/>
        <v>1.5601518540636843E-2</v>
      </c>
      <c r="H5" s="3">
        <f>IF($D5="","",IF($C5="",Control!$B$9,MAX(MIN(($G5-$C5)/$G5,Control!$B$7),Control!$B$8)))</f>
        <v>-7.4999999999999997E-2</v>
      </c>
      <c r="I5" s="2">
        <f t="shared" si="1"/>
        <v>1.2571858340257718</v>
      </c>
      <c r="J5" s="2">
        <f>IF($D5="","",IF($E5&gt;0,Control!$B$6,Control!$B$5))</f>
        <v>0.33333333333333331</v>
      </c>
      <c r="K5" s="2">
        <f t="shared" si="2"/>
        <v>1.2571858340257718</v>
      </c>
      <c r="L5">
        <f>IF($B5="","",IF($C5="",IF($M5&gt;=Control!$B$11,Control!$B$10,$E5),MAX($E5-1,0)))</f>
        <v>0</v>
      </c>
      <c r="M5">
        <f t="shared" si="3"/>
        <v>1</v>
      </c>
      <c r="O5" s="1" t="s">
        <v>75</v>
      </c>
      <c r="P5" s="5">
        <f>MEDIAN(P2:P4)</f>
        <v>1.2409874593223437E-2</v>
      </c>
      <c r="R5">
        <v>4</v>
      </c>
      <c r="S5" s="3">
        <f t="shared" si="4"/>
        <v>-5.6249999999999994E-2</v>
      </c>
      <c r="T5">
        <f t="shared" si="5"/>
        <v>4</v>
      </c>
    </row>
    <row r="6" spans="1:20" x14ac:dyDescent="0.2">
      <c r="A6">
        <v>2</v>
      </c>
      <c r="B6" t="s">
        <v>41</v>
      </c>
      <c r="C6" s="5">
        <v>1.3263888888888889E-2</v>
      </c>
      <c r="D6" s="2">
        <f>IF($B6="","",IFERROR(VLOOKUP($B6,'Sword in the stepping stone'!$B$2:$M$36,10,FALSE),IF($C6="","",$C6/$P$5)))</f>
        <v>1.0586178215572992</v>
      </c>
      <c r="E6">
        <f>IF($B6="","",IFERROR(VLOOKUP($B6,'Sword in the stepping stone'!$B$2:$M$36,11,FALSE),Control!$B$10))</f>
        <v>0</v>
      </c>
      <c r="F6">
        <f>IF($B6="","",IFERROR(VLOOKUP($B6,'Sword in the stepping stone'!$B$2:$M$36,12,FALSE),0))</f>
        <v>0</v>
      </c>
      <c r="G6" s="5">
        <f t="shared" si="0"/>
        <v>1.3137314407677469E-2</v>
      </c>
      <c r="H6" s="3">
        <f>IF($D6="","",IF($C6="",Control!$B$9,MAX(MIN(($G6-$C6)/$G6,Control!$B$7),Control!$B$8)))</f>
        <v>-9.6347303020661631E-3</v>
      </c>
      <c r="I6" s="2">
        <f t="shared" si="1"/>
        <v>1.0688173187609646</v>
      </c>
      <c r="J6" s="2">
        <f>IF($D6="","",IF($E6&gt;0,Control!$B$6,Control!$B$5))</f>
        <v>0.33333333333333331</v>
      </c>
      <c r="K6" s="2">
        <f t="shared" si="2"/>
        <v>1.0620176539585211</v>
      </c>
      <c r="L6">
        <f>IF($B6="","",IF($C6="",IF($M6&gt;=Control!$B$11,Control!$B$10,$E6),MAX($E6-1,0)))</f>
        <v>0</v>
      </c>
      <c r="M6">
        <f t="shared" si="3"/>
        <v>0</v>
      </c>
      <c r="R6">
        <v>5</v>
      </c>
      <c r="S6" s="3">
        <f t="shared" si="4"/>
        <v>-7.4999999999999997E-2</v>
      </c>
      <c r="T6">
        <f t="shared" si="5"/>
        <v>7</v>
      </c>
    </row>
    <row r="7" spans="1:20" x14ac:dyDescent="0.2">
      <c r="A7">
        <v>2</v>
      </c>
      <c r="B7" t="s">
        <v>15</v>
      </c>
      <c r="C7" s="5">
        <v>1.275462962962963E-2</v>
      </c>
      <c r="D7" s="2">
        <f>IF($B7="","",IFERROR(VLOOKUP($B7,'Sword in the stepping stone'!$B$2:$M$36,10,FALSE),IF($C7="","",$C7/$P$5)))</f>
        <v>0.97318050384940358</v>
      </c>
      <c r="E7">
        <f>IF($B7="","",IFERROR(VLOOKUP($B7,'Sword in the stepping stone'!$B$2:$M$36,11,FALSE),Control!$B$10))</f>
        <v>0</v>
      </c>
      <c r="F7">
        <f>IF($B7="","",IFERROR(VLOOKUP($B7,'Sword in the stepping stone'!$B$2:$M$36,12,FALSE),0))</f>
        <v>0</v>
      </c>
      <c r="G7" s="5">
        <f t="shared" si="0"/>
        <v>1.2077048009341097E-2</v>
      </c>
      <c r="H7" s="3">
        <f>IF($D7="","",IF($C7="",Control!$B$9,MAX(MIN(($G7-$C7)/$G7,Control!$B$7),Control!$B$8)))</f>
        <v>-0.05</v>
      </c>
      <c r="I7" s="2">
        <f t="shared" si="1"/>
        <v>1.027780702682882</v>
      </c>
      <c r="J7" s="2">
        <f>IF($D7="","",IF($E7&gt;0,Control!$B$6,Control!$B$5))</f>
        <v>0.33333333333333331</v>
      </c>
      <c r="K7" s="2">
        <f t="shared" si="2"/>
        <v>0.99138057012722969</v>
      </c>
      <c r="L7">
        <f>IF($B7="","",IF($C7="",IF($M7&gt;=Control!$B$11,Control!$B$10,$E7),MAX($E7-1,0)))</f>
        <v>0</v>
      </c>
      <c r="M7">
        <f t="shared" si="3"/>
        <v>0</v>
      </c>
      <c r="R7">
        <v>6</v>
      </c>
      <c r="S7" s="3">
        <f t="shared" si="4"/>
        <v>-0.06</v>
      </c>
      <c r="T7">
        <f t="shared" si="5"/>
        <v>5</v>
      </c>
    </row>
    <row r="8" spans="1:20" x14ac:dyDescent="0.2">
      <c r="A8">
        <v>2</v>
      </c>
      <c r="B8" t="s">
        <v>42</v>
      </c>
      <c r="C8" s="5">
        <v>1.391203703703704E-2</v>
      </c>
      <c r="D8" s="2">
        <f>IF($B8="","",IFERROR(VLOOKUP($B8,'Sword in the stepping stone'!$B$2:$M$36,10,FALSE),IF($C8="","",$C8/$P$5)))</f>
        <v>1.1210457392239788</v>
      </c>
      <c r="E8">
        <f>IF($B8="","",IFERROR(VLOOKUP($B8,'Sword in the stepping stone'!$B$2:$M$36,11,FALSE),Control!$B$10))</f>
        <v>0</v>
      </c>
      <c r="F8">
        <f>IF($B8="","",IFERROR(VLOOKUP($B8,'Sword in the stepping stone'!$B$2:$M$36,12,FALSE),0))</f>
        <v>0</v>
      </c>
      <c r="G8" s="5">
        <f t="shared" si="0"/>
        <v>1.391203703703704E-2</v>
      </c>
      <c r="H8" s="3">
        <f>IF($D8="","",IF($C8="",Control!$B$9,MAX(MIN(($G8-$C8)/$G8,Control!$B$7),Control!$B$8)))</f>
        <v>0</v>
      </c>
      <c r="I8" s="2">
        <f t="shared" si="1"/>
        <v>1.1210457392239788</v>
      </c>
      <c r="J8" s="2">
        <f>IF($D8="","",IF($E8&gt;0,Control!$B$6,Control!$B$5))</f>
        <v>0.33333333333333331</v>
      </c>
      <c r="K8" s="2">
        <f t="shared" si="2"/>
        <v>1.1210457392239788</v>
      </c>
      <c r="L8">
        <f>IF($B8="","",IF($C8="",IF($M8&gt;=Control!$B$11,Control!$B$10,$E8),MAX($E8-1,0)))</f>
        <v>0</v>
      </c>
      <c r="M8">
        <f t="shared" si="3"/>
        <v>0</v>
      </c>
      <c r="R8">
        <v>7</v>
      </c>
      <c r="S8" s="3">
        <f t="shared" si="4"/>
        <v>-4.539703995718377E-2</v>
      </c>
      <c r="T8">
        <f t="shared" si="5"/>
        <v>2</v>
      </c>
    </row>
    <row r="9" spans="1:20" x14ac:dyDescent="0.2">
      <c r="A9">
        <v>2</v>
      </c>
      <c r="B9" t="s">
        <v>43</v>
      </c>
      <c r="C9" s="5">
        <v>2.6122685185185186E-2</v>
      </c>
      <c r="D9" s="2">
        <f>IF($B9="","",IFERROR(VLOOKUP($B9,'Sword in the stepping stone'!$B$2:$M$36,10,FALSE),IF($C9="","",$C9/$P$5)))</f>
        <v>1.2876130270371693</v>
      </c>
      <c r="E9">
        <f>IF($B9="","",IFERROR(VLOOKUP($B9,'Sword in the stepping stone'!$B$2:$M$36,11,FALSE),Control!$B$10))</f>
        <v>0</v>
      </c>
      <c r="F9">
        <f>IF($B9="","",IFERROR(VLOOKUP($B9,'Sword in the stepping stone'!$B$2:$M$36,12,FALSE),0))</f>
        <v>0</v>
      </c>
      <c r="G9" s="5">
        <f t="shared" si="0"/>
        <v>1.5979116190132089E-2</v>
      </c>
      <c r="H9" s="3">
        <f>IF($D9="","",IF($C9="",Control!$B$9,MAX(MIN(($G9-$C9)/$G9,Control!$B$7),Control!$B$8)))</f>
        <v>-0.05</v>
      </c>
      <c r="I9" s="2">
        <f t="shared" si="1"/>
        <v>2.1049918747325456</v>
      </c>
      <c r="J9" s="2">
        <f>IF($D9="","",IF($E9&gt;0,Control!$B$6,Control!$B$5))</f>
        <v>0.33333333333333331</v>
      </c>
      <c r="K9" s="2">
        <f t="shared" si="2"/>
        <v>1.560072642935628</v>
      </c>
      <c r="L9">
        <f>IF($B9="","",IF($C9="",IF($M9&gt;=Control!$B$11,Control!$B$10,$E9),MAX($E9-1,0)))</f>
        <v>0</v>
      </c>
      <c r="M9">
        <f t="shared" si="3"/>
        <v>0</v>
      </c>
    </row>
    <row r="10" spans="1:20" x14ac:dyDescent="0.2">
      <c r="A10">
        <v>3</v>
      </c>
      <c r="B10" t="s">
        <v>44</v>
      </c>
      <c r="C10" s="5">
        <v>1.4907407407407409E-2</v>
      </c>
      <c r="D10" s="2">
        <f>IF($B10="","",IFERROR(VLOOKUP($B10,'Sword in the stepping stone'!$B$2:$M$36,10,FALSE),IF($C10="","",$C10/$P$5)))</f>
        <v>1.2120401347554315</v>
      </c>
      <c r="E10">
        <f>IF($B10="","",IFERROR(VLOOKUP($B10,'Sword in the stepping stone'!$B$2:$M$36,11,FALSE),Control!$B$10))</f>
        <v>0</v>
      </c>
      <c r="F10">
        <f>IF($B10="","",IFERROR(VLOOKUP($B10,'Sword in the stepping stone'!$B$2:$M$36,12,FALSE),0))</f>
        <v>0</v>
      </c>
      <c r="G10" s="5">
        <f t="shared" si="0"/>
        <v>1.504126607426854E-2</v>
      </c>
      <c r="H10" s="3">
        <f>IF($D10="","",IF($C10="",Control!$B$9,MAX(MIN(($G10-$C10)/$G10,Control!$B$7),Control!$B$8)))</f>
        <v>8.899428159849284E-3</v>
      </c>
      <c r="I10" s="2">
        <f t="shared" si="1"/>
        <v>1.2012536706493215</v>
      </c>
      <c r="J10" s="2">
        <f>IF($D10="","",IF($E10&gt;0,Control!$B$6,Control!$B$5))</f>
        <v>0.33333333333333331</v>
      </c>
      <c r="K10" s="2">
        <f t="shared" si="2"/>
        <v>1.2084446467200616</v>
      </c>
      <c r="L10">
        <f>IF($B10="","",IF($C10="",IF($M10&gt;=Control!$B$11,Control!$B$10,$E10),MAX($E10-1,0)))</f>
        <v>0</v>
      </c>
      <c r="M10">
        <f t="shared" si="3"/>
        <v>0</v>
      </c>
    </row>
    <row r="11" spans="1:20" x14ac:dyDescent="0.2">
      <c r="A11">
        <v>3</v>
      </c>
      <c r="B11" t="s">
        <v>45</v>
      </c>
      <c r="C11" s="5"/>
      <c r="D11" s="2">
        <f>IF($B11="","",IFERROR(VLOOKUP($B11,'Sword in the stepping stone'!$B$2:$M$36,10,FALSE),IF($C11="","",$C11/$P$5)))</f>
        <v>1.2354045892022745</v>
      </c>
      <c r="E11">
        <f>IF($B11="","",IFERROR(VLOOKUP($B11,'Sword in the stepping stone'!$B$2:$M$36,11,FALSE),Control!$B$10))</f>
        <v>0</v>
      </c>
      <c r="F11">
        <f>IF($B11="","",IFERROR(VLOOKUP($B11,'Sword in the stepping stone'!$B$2:$M$36,12,FALSE),0))</f>
        <v>0</v>
      </c>
      <c r="G11" s="5">
        <f t="shared" si="0"/>
        <v>1.5331216023892943E-2</v>
      </c>
      <c r="H11" s="3">
        <f>IF($D11="","",IF($C11="",Control!$B$9,MAX(MIN(($G11-$C11)/$G11,Control!$B$7),Control!$B$8)))</f>
        <v>-7.4999999999999997E-2</v>
      </c>
      <c r="I11" s="2">
        <f t="shared" si="1"/>
        <v>1.2354045892022745</v>
      </c>
      <c r="J11" s="2">
        <f>IF($D11="","",IF($E11&gt;0,Control!$B$6,Control!$B$5))</f>
        <v>0.33333333333333331</v>
      </c>
      <c r="K11" s="2">
        <f t="shared" si="2"/>
        <v>1.2354045892022745</v>
      </c>
      <c r="L11">
        <f>IF($B11="","",IF($C11="",IF($M11&gt;=Control!$B$11,Control!$B$10,$E11),MAX($E11-1,0)))</f>
        <v>0</v>
      </c>
      <c r="M11">
        <f t="shared" si="3"/>
        <v>1</v>
      </c>
    </row>
    <row r="12" spans="1:20" x14ac:dyDescent="0.2">
      <c r="A12">
        <v>3</v>
      </c>
      <c r="B12" t="s">
        <v>46</v>
      </c>
      <c r="C12" s="5"/>
      <c r="D12" s="2">
        <f>IF($B12="","",IFERROR(VLOOKUP($B12,'Sword in the stepping stone'!$B$2:$M$36,10,FALSE),IF($C12="","",$C12/$P$5)))</f>
        <v>1.3428784037538284</v>
      </c>
      <c r="E12">
        <f>IF($B12="","",IFERROR(VLOOKUP($B12,'Sword in the stepping stone'!$B$2:$M$36,11,FALSE),Control!$B$10))</f>
        <v>0</v>
      </c>
      <c r="F12">
        <f>IF($B12="","",IFERROR(VLOOKUP($B12,'Sword in the stepping stone'!$B$2:$M$36,12,FALSE),0))</f>
        <v>0</v>
      </c>
      <c r="G12" s="5">
        <f t="shared" si="0"/>
        <v>1.6664952584533078E-2</v>
      </c>
      <c r="H12" s="3">
        <f>IF($D12="","",IF($C12="",Control!$B$9,MAX(MIN(($G12-$C12)/$G12,Control!$B$7),Control!$B$8)))</f>
        <v>-7.4999999999999997E-2</v>
      </c>
      <c r="I12" s="2">
        <f t="shared" si="1"/>
        <v>1.3428784037538284</v>
      </c>
      <c r="J12" s="2">
        <f>IF($D12="","",IF($E12&gt;0,Control!$B$6,Control!$B$5))</f>
        <v>0.33333333333333331</v>
      </c>
      <c r="K12" s="2">
        <f t="shared" si="2"/>
        <v>1.3428784037538284</v>
      </c>
      <c r="L12">
        <f>IF($B12="","",IF($C12="",IF($M12&gt;=Control!$B$11,Control!$B$10,$E12),MAX($E12-1,0)))</f>
        <v>0</v>
      </c>
      <c r="M12">
        <f t="shared" si="3"/>
        <v>1</v>
      </c>
    </row>
    <row r="13" spans="1:20" x14ac:dyDescent="0.2">
      <c r="A13">
        <v>4</v>
      </c>
      <c r="B13" t="s">
        <v>47</v>
      </c>
      <c r="C13" s="5">
        <v>2.5706018518518517E-2</v>
      </c>
      <c r="D13" s="2">
        <f>IF($B13="","",IFERROR(VLOOKUP($B13,'Sword in the stepping stone'!$B$2:$M$36,10,FALSE),IF($C13="","",$C13/$P$5)))</f>
        <v>1.2807188268652785</v>
      </c>
      <c r="E13">
        <f>IF($B13="","",IFERROR(VLOOKUP($B13,'Sword in the stepping stone'!$B$2:$M$36,11,FALSE),Control!$B$10))</f>
        <v>0</v>
      </c>
      <c r="F13">
        <f>IF($B13="","",IFERROR(VLOOKUP($B13,'Sword in the stepping stone'!$B$2:$M$36,12,FALSE),0))</f>
        <v>0</v>
      </c>
      <c r="G13" s="5">
        <f t="shared" si="0"/>
        <v>1.5893560030578346E-2</v>
      </c>
      <c r="H13" s="3">
        <f>IF($D13="","",IF($C13="",Control!$B$9,MAX(MIN(($G13-$C13)/$G13,Control!$B$7),Control!$B$8)))</f>
        <v>-0.05</v>
      </c>
      <c r="I13" s="2">
        <f t="shared" si="1"/>
        <v>2.0714164615777504</v>
      </c>
      <c r="J13" s="2">
        <f>IF($D13="","",IF($E13&gt;0,Control!$B$6,Control!$B$5))</f>
        <v>0.33333333333333331</v>
      </c>
      <c r="K13" s="2">
        <f t="shared" si="2"/>
        <v>1.5442847051027691</v>
      </c>
      <c r="L13">
        <f>IF($B13="","",IF($C13="",IF($M13&gt;=Control!$B$11,Control!$B$10,$E13),MAX($E13-1,0)))</f>
        <v>0</v>
      </c>
      <c r="M13">
        <f t="shared" si="3"/>
        <v>0</v>
      </c>
    </row>
    <row r="14" spans="1:20" x14ac:dyDescent="0.2">
      <c r="A14">
        <v>4</v>
      </c>
      <c r="B14" t="s">
        <v>48</v>
      </c>
      <c r="C14" s="5">
        <v>2.1597222222222223E-2</v>
      </c>
      <c r="D14" s="2">
        <f>IF($B14="","",IFERROR(VLOOKUP($B14,'Sword in the stepping stone'!$B$2:$M$36,10,FALSE),IF($C14="","",$C14/$P$5)))</f>
        <v>1.5771380747574308</v>
      </c>
      <c r="E14">
        <f>IF($B14="","",IFERROR(VLOOKUP($B14,'Sword in the stepping stone'!$B$2:$M$36,11,FALSE),Control!$B$10))</f>
        <v>0</v>
      </c>
      <c r="F14">
        <f>IF($B14="","",IFERROR(VLOOKUP($B14,'Sword in the stepping stone'!$B$2:$M$36,12,FALSE),0))</f>
        <v>0</v>
      </c>
      <c r="G14" s="5">
        <f t="shared" si="0"/>
        <v>1.9572085723937566E-2</v>
      </c>
      <c r="H14" s="3">
        <f>IF($D14="","",IF($C14="",Control!$B$9,MAX(MIN(($G14-$C14)/$G14,Control!$B$7),Control!$B$8)))</f>
        <v>-0.05</v>
      </c>
      <c r="I14" s="2">
        <f t="shared" si="1"/>
        <v>1.7403255818568584</v>
      </c>
      <c r="J14" s="2">
        <f>IF($D14="","",IF($E14&gt;0,Control!$B$6,Control!$B$5))</f>
        <v>0.33333333333333331</v>
      </c>
      <c r="K14" s="2">
        <f t="shared" si="2"/>
        <v>1.6315339104572399</v>
      </c>
      <c r="L14">
        <f>IF($B14="","",IF($C14="",IF($M14&gt;=Control!$B$11,Control!$B$10,$E14),MAX($E14-1,0)))</f>
        <v>0</v>
      </c>
      <c r="M14">
        <f t="shared" si="3"/>
        <v>0</v>
      </c>
    </row>
    <row r="15" spans="1:20" x14ac:dyDescent="0.2">
      <c r="A15">
        <v>4</v>
      </c>
      <c r="B15" t="s">
        <v>49</v>
      </c>
      <c r="C15" s="5"/>
      <c r="D15" s="2">
        <f>IF($B15="","",IFERROR(VLOOKUP($B15,'Sword in the stepping stone'!$B$2:$M$36,10,FALSE),IF($C15="","",$C15/$P$5)))</f>
        <v>1.5939780269035149</v>
      </c>
      <c r="E15">
        <f>IF($B15="","",IFERROR(VLOOKUP($B15,'Sword in the stepping stone'!$B$2:$M$36,11,FALSE),Control!$B$10))</f>
        <v>0</v>
      </c>
      <c r="F15">
        <f>IF($B15="","",IFERROR(VLOOKUP($B15,'Sword in the stepping stone'!$B$2:$M$36,12,FALSE),0))</f>
        <v>0</v>
      </c>
      <c r="G15" s="5">
        <f t="shared" si="0"/>
        <v>1.9781067418226352E-2</v>
      </c>
      <c r="H15" s="3">
        <f>IF($D15="","",IF($C15="",Control!$B$9,MAX(MIN(($G15-$C15)/$G15,Control!$B$7),Control!$B$8)))</f>
        <v>-7.4999999999999997E-2</v>
      </c>
      <c r="I15" s="2">
        <f t="shared" si="1"/>
        <v>1.5939780269035149</v>
      </c>
      <c r="J15" s="2">
        <f>IF($D15="","",IF($E15&gt;0,Control!$B$6,Control!$B$5))</f>
        <v>0.33333333333333331</v>
      </c>
      <c r="K15" s="2">
        <f t="shared" si="2"/>
        <v>1.5939780269035149</v>
      </c>
      <c r="L15">
        <f>IF($B15="","",IF($C15="",IF($M15&gt;=Control!$B$11,Control!$B$10,$E15),MAX($E15-1,0)))</f>
        <v>0</v>
      </c>
      <c r="M15">
        <f t="shared" si="3"/>
        <v>1</v>
      </c>
    </row>
    <row r="16" spans="1:20" x14ac:dyDescent="0.2">
      <c r="A16">
        <v>4</v>
      </c>
      <c r="B16" t="s">
        <v>50</v>
      </c>
      <c r="C16" s="5">
        <v>2.1770833333333333E-2</v>
      </c>
      <c r="D16" s="2">
        <f>IF($B16="","",IFERROR(VLOOKUP($B16,'Sword in the stepping stone'!$B$2:$M$36,10,FALSE),IF($C16="","",$C16/$P$5)))</f>
        <v>1.6050279853825336</v>
      </c>
      <c r="E16">
        <f>IF($B16="","",IFERROR(VLOOKUP($B16,'Sword in the stepping stone'!$B$2:$M$36,11,FALSE),Control!$B$10))</f>
        <v>0</v>
      </c>
      <c r="F16">
        <f>IF($B16="","",IFERROR(VLOOKUP($B16,'Sword in the stepping stone'!$B$2:$M$36,12,FALSE),0))</f>
        <v>0</v>
      </c>
      <c r="G16" s="5">
        <f t="shared" si="0"/>
        <v>1.9918196017211301E-2</v>
      </c>
      <c r="H16" s="3">
        <f>IF($D16="","",IF($C16="",Control!$B$9,MAX(MIN(($G16-$C16)/$G16,Control!$B$7),Control!$B$8)))</f>
        <v>-0.05</v>
      </c>
      <c r="I16" s="2">
        <f t="shared" si="1"/>
        <v>1.7543153373380229</v>
      </c>
      <c r="J16" s="2">
        <f>IF($D16="","",IF($E16&gt;0,Control!$B$6,Control!$B$5))</f>
        <v>0.33333333333333331</v>
      </c>
      <c r="K16" s="2">
        <f t="shared" si="2"/>
        <v>1.6547904360343633</v>
      </c>
      <c r="L16">
        <f>IF($B16="","",IF($C16="",IF($M16&gt;=Control!$B$11,Control!$B$10,$E16),MAX($E16-1,0)))</f>
        <v>0</v>
      </c>
      <c r="M16">
        <f t="shared" si="3"/>
        <v>0</v>
      </c>
    </row>
    <row r="17" spans="1:13" x14ac:dyDescent="0.2">
      <c r="A17">
        <v>5</v>
      </c>
      <c r="B17" t="s">
        <v>51</v>
      </c>
      <c r="C17" s="5"/>
      <c r="D17" s="2">
        <f>IF($B17="","",IFERROR(VLOOKUP($B17,'Sword in the stepping stone'!$B$2:$M$36,10,FALSE),IF($C17="","",$C17/$P$5)))</f>
        <v>1.0980792182479766</v>
      </c>
      <c r="E17">
        <f>IF($B17="","",IFERROR(VLOOKUP($B17,'Sword in the stepping stone'!$B$2:$M$36,11,FALSE),Control!$B$10))</f>
        <v>0</v>
      </c>
      <c r="F17">
        <f>IF($B17="","",IFERROR(VLOOKUP($B17,'Sword in the stepping stone'!$B$2:$M$36,12,FALSE),0))</f>
        <v>1</v>
      </c>
      <c r="G17" s="5">
        <f t="shared" si="0"/>
        <v>1.3627025391882219E-2</v>
      </c>
      <c r="H17" s="3">
        <f>IF($D17="","",IF($C17="",Control!$B$9,MAX(MIN(($G17-$C17)/$G17,Control!$B$7),Control!$B$8)))</f>
        <v>-7.4999999999999997E-2</v>
      </c>
      <c r="I17" s="2">
        <f t="shared" si="1"/>
        <v>1.0980792182479766</v>
      </c>
      <c r="J17" s="2">
        <f>IF($D17="","",IF($E17&gt;0,Control!$B$6,Control!$B$5))</f>
        <v>0.33333333333333331</v>
      </c>
      <c r="K17" s="2">
        <f t="shared" si="2"/>
        <v>1.0980792182479766</v>
      </c>
      <c r="L17">
        <f>IF($B17="","",IF($C17="",IF($M17&gt;=Control!$B$11,Control!$B$10,$E17),MAX($E17-1,0)))</f>
        <v>0</v>
      </c>
      <c r="M17">
        <f t="shared" si="3"/>
        <v>2</v>
      </c>
    </row>
    <row r="18" spans="1:13" x14ac:dyDescent="0.2">
      <c r="A18">
        <v>5</v>
      </c>
      <c r="B18" t="s">
        <v>52</v>
      </c>
      <c r="C18" s="5"/>
      <c r="D18" s="2">
        <f>IF($B18="","",IFERROR(VLOOKUP($B18,'Sword in the stepping stone'!$B$2:$M$36,10,FALSE),IF($C18="","",$C18/$P$5)))</f>
        <v>1.4128082545357437</v>
      </c>
      <c r="E18">
        <f>IF($B18="","",IFERROR(VLOOKUP($B18,'Sword in the stepping stone'!$B$2:$M$36,11,FALSE),Control!$B$10))</f>
        <v>0</v>
      </c>
      <c r="F18">
        <f>IF($B18="","",IFERROR(VLOOKUP($B18,'Sword in the stepping stone'!$B$2:$M$36,12,FALSE),0))</f>
        <v>1</v>
      </c>
      <c r="G18" s="5">
        <f t="shared" si="0"/>
        <v>1.7532773263059475E-2</v>
      </c>
      <c r="H18" s="3">
        <f>IF($D18="","",IF($C18="",Control!$B$9,MAX(MIN(($G18-$C18)/$G18,Control!$B$7),Control!$B$8)))</f>
        <v>-7.4999999999999997E-2</v>
      </c>
      <c r="I18" s="2">
        <f t="shared" si="1"/>
        <v>1.4128082545357437</v>
      </c>
      <c r="J18" s="2">
        <f>IF($D18="","",IF($E18&gt;0,Control!$B$6,Control!$B$5))</f>
        <v>0.33333333333333331</v>
      </c>
      <c r="K18" s="2">
        <f t="shared" si="2"/>
        <v>1.4128082545357437</v>
      </c>
      <c r="L18">
        <f>IF($B18="","",IF($C18="",IF($M18&gt;=Control!$B$11,Control!$B$10,$E18),MAX($E18-1,0)))</f>
        <v>0</v>
      </c>
      <c r="M18">
        <f t="shared" si="3"/>
        <v>2</v>
      </c>
    </row>
    <row r="19" spans="1:13" x14ac:dyDescent="0.2">
      <c r="A19">
        <v>5</v>
      </c>
      <c r="B19" t="s">
        <v>53</v>
      </c>
      <c r="C19" s="5"/>
      <c r="D19" s="2">
        <f>IF($B19="","",IFERROR(VLOOKUP($B19,'Sword in the stepping stone'!$B$2:$M$36,10,FALSE),IF($C19="","",$C19/$P$5)))</f>
        <v>1.4803897336368115</v>
      </c>
      <c r="E19">
        <f>IF($B19="","",IFERROR(VLOOKUP($B19,'Sword in the stepping stone'!$B$2:$M$36,11,FALSE),Control!$B$10))</f>
        <v>0</v>
      </c>
      <c r="F19">
        <f>IF($B19="","",IFERROR(VLOOKUP($B19,'Sword in the stepping stone'!$B$2:$M$36,12,FALSE),0))</f>
        <v>0</v>
      </c>
      <c r="G19" s="5">
        <f t="shared" si="0"/>
        <v>1.8371450943528277E-2</v>
      </c>
      <c r="H19" s="3">
        <f>IF($D19="","",IF($C19="",Control!$B$9,MAX(MIN(($G19-$C19)/$G19,Control!$B$7),Control!$B$8)))</f>
        <v>-7.4999999999999997E-2</v>
      </c>
      <c r="I19" s="2">
        <f t="shared" si="1"/>
        <v>1.4803897336368115</v>
      </c>
      <c r="J19" s="2">
        <f>IF($D19="","",IF($E19&gt;0,Control!$B$6,Control!$B$5))</f>
        <v>0.33333333333333331</v>
      </c>
      <c r="K19" s="2">
        <f t="shared" si="2"/>
        <v>1.4803897336368115</v>
      </c>
      <c r="L19">
        <f>IF($B19="","",IF($C19="",IF($M19&gt;=Control!$B$11,Control!$B$10,$E19),MAX($E19-1,0)))</f>
        <v>0</v>
      </c>
      <c r="M19">
        <f t="shared" si="3"/>
        <v>1</v>
      </c>
    </row>
    <row r="20" spans="1:13" x14ac:dyDescent="0.2">
      <c r="A20">
        <v>5</v>
      </c>
      <c r="B20" t="s">
        <v>54</v>
      </c>
      <c r="C20" s="5"/>
      <c r="D20" s="2">
        <f>IF($B20="","",IFERROR(VLOOKUP($B20,'Sword in the stepping stone'!$B$2:$M$36,10,FALSE),IF($C20="","",$C20/$P$5)))</f>
        <v>1.6933397193435091</v>
      </c>
      <c r="E20">
        <f>IF($B20="","",IFERROR(VLOOKUP($B20,'Sword in the stepping stone'!$B$2:$M$36,11,FALSE),Control!$B$10))</f>
        <v>0</v>
      </c>
      <c r="F20">
        <f>IF($B20="","",IFERROR(VLOOKUP($B20,'Sword in the stepping stone'!$B$2:$M$36,12,FALSE),0))</f>
        <v>1</v>
      </c>
      <c r="G20" s="5">
        <f t="shared" si="0"/>
        <v>2.101413356077712E-2</v>
      </c>
      <c r="H20" s="3">
        <f>IF($D20="","",IF($C20="",Control!$B$9,MAX(MIN(($G20-$C20)/$G20,Control!$B$7),Control!$B$8)))</f>
        <v>-7.4999999999999997E-2</v>
      </c>
      <c r="I20" s="2">
        <f t="shared" si="1"/>
        <v>1.6933397193435091</v>
      </c>
      <c r="J20" s="2">
        <f>IF($D20="","",IF($E20&gt;0,Control!$B$6,Control!$B$5))</f>
        <v>0.33333333333333331</v>
      </c>
      <c r="K20" s="2">
        <f t="shared" si="2"/>
        <v>1.6933397193435091</v>
      </c>
      <c r="L20">
        <f>IF($B20="","",IF($C20="",IF($M20&gt;=Control!$B$11,Control!$B$10,$E20),MAX($E20-1,0)))</f>
        <v>0</v>
      </c>
      <c r="M20">
        <f t="shared" si="3"/>
        <v>2</v>
      </c>
    </row>
    <row r="21" spans="1:13" x14ac:dyDescent="0.2">
      <c r="A21">
        <v>6</v>
      </c>
      <c r="B21" t="s">
        <v>55</v>
      </c>
      <c r="C21" s="5">
        <v>2.3356481481481482E-2</v>
      </c>
      <c r="D21" s="2">
        <f>IF($B21="","",IFERROR(VLOOKUP($B21,'Sword in the stepping stone'!$B$2:$M$36,10,FALSE),IF($C21="","",$C21/$P$5)))</f>
        <v>1.3796795178375703</v>
      </c>
      <c r="E21">
        <f>IF($B21="","",IFERROR(VLOOKUP($B21,'Sword in the stepping stone'!$B$2:$M$36,11,FALSE),Control!$B$10))</f>
        <v>0</v>
      </c>
      <c r="F21">
        <f>IF($B21="","",IFERROR(VLOOKUP($B21,'Sword in the stepping stone'!$B$2:$M$36,12,FALSE),0))</f>
        <v>0</v>
      </c>
      <c r="G21" s="5">
        <f t="shared" si="0"/>
        <v>1.7121649795203225E-2</v>
      </c>
      <c r="H21" s="3">
        <f>IF($D21="","",IF($C21="",Control!$B$9,MAX(MIN(($G21-$C21)/$G21,Control!$B$7),Control!$B$8)))</f>
        <v>-0.05</v>
      </c>
      <c r="I21" s="2">
        <f t="shared" si="1"/>
        <v>1.882088437399325</v>
      </c>
      <c r="J21" s="2">
        <f>IF($D21="","",IF($E21&gt;0,Control!$B$6,Control!$B$5))</f>
        <v>0.33333333333333331</v>
      </c>
      <c r="K21" s="2">
        <f t="shared" si="2"/>
        <v>1.5471491576914884</v>
      </c>
      <c r="L21">
        <f>IF($B21="","",IF($C21="",IF($M21&gt;=Control!$B$11,Control!$B$10,$E21),MAX($E21-1,0)))</f>
        <v>0</v>
      </c>
      <c r="M21">
        <f t="shared" si="3"/>
        <v>0</v>
      </c>
    </row>
    <row r="22" spans="1:13" x14ac:dyDescent="0.2">
      <c r="A22">
        <v>6</v>
      </c>
      <c r="B22" t="s">
        <v>56</v>
      </c>
      <c r="C22" s="5">
        <v>2.3680555555555555E-2</v>
      </c>
      <c r="D22" s="2">
        <f>IF($B22="","",IFERROR(VLOOKUP($B22,'Sword in the stepping stone'!$B$2:$M$36,10,FALSE),IF($C22="","",$C22/$P$5)))</f>
        <v>1.3943941375348343</v>
      </c>
      <c r="E22">
        <f>IF($B22="","",IFERROR(VLOOKUP($B22,'Sword in the stepping stone'!$B$2:$M$36,11,FALSE),Control!$B$10))</f>
        <v>0</v>
      </c>
      <c r="F22">
        <f>IF($B22="","",IFERROR(VLOOKUP($B22,'Sword in the stepping stone'!$B$2:$M$36,12,FALSE),0))</f>
        <v>0</v>
      </c>
      <c r="G22" s="5">
        <f t="shared" si="0"/>
        <v>1.7304256380333248E-2</v>
      </c>
      <c r="H22" s="3">
        <f>IF($D22="","",IF($C22="",Control!$B$9,MAX(MIN(($G22-$C22)/$G22,Control!$B$7),Control!$B$8)))</f>
        <v>-0.05</v>
      </c>
      <c r="I22" s="2">
        <f t="shared" si="1"/>
        <v>1.9082026476308318</v>
      </c>
      <c r="J22" s="2">
        <f>IF($D22="","",IF($E22&gt;0,Control!$B$6,Control!$B$5))</f>
        <v>0.33333333333333331</v>
      </c>
      <c r="K22" s="2">
        <f t="shared" si="2"/>
        <v>1.5656636409001667</v>
      </c>
      <c r="L22">
        <f>IF($B22="","",IF($C22="",IF($M22&gt;=Control!$B$11,Control!$B$10,$E22),MAX($E22-1,0)))</f>
        <v>0</v>
      </c>
      <c r="M22">
        <f t="shared" si="3"/>
        <v>0</v>
      </c>
    </row>
    <row r="23" spans="1:13" x14ac:dyDescent="0.2">
      <c r="A23">
        <v>6</v>
      </c>
      <c r="B23" t="s">
        <v>57</v>
      </c>
      <c r="C23" s="5"/>
      <c r="D23" s="2">
        <f>IF($B23="","",IFERROR(VLOOKUP($B23,'Sword in the stepping stone'!$B$2:$M$36,10,FALSE),IF($C23="","",$C23/$P$5)))</f>
        <v>1.5299495810426411</v>
      </c>
      <c r="E23">
        <f>IF($B23="","",IFERROR(VLOOKUP($B23,'Sword in the stepping stone'!$B$2:$M$36,11,FALSE),Control!$B$10))</f>
        <v>0</v>
      </c>
      <c r="F23">
        <f>IF($B23="","",IFERROR(VLOOKUP($B23,'Sword in the stepping stone'!$B$2:$M$36,12,FALSE),0))</f>
        <v>0</v>
      </c>
      <c r="G23" s="5">
        <f t="shared" si="0"/>
        <v>1.8986482434693915E-2</v>
      </c>
      <c r="H23" s="3">
        <f>IF($D23="","",IF($C23="",Control!$B$9,MAX(MIN(($G23-$C23)/$G23,Control!$B$7),Control!$B$8)))</f>
        <v>-7.4999999999999997E-2</v>
      </c>
      <c r="I23" s="2">
        <f t="shared" si="1"/>
        <v>1.5299495810426411</v>
      </c>
      <c r="J23" s="2">
        <f>IF($D23="","",IF($E23&gt;0,Control!$B$6,Control!$B$5))</f>
        <v>0.33333333333333331</v>
      </c>
      <c r="K23" s="2">
        <f t="shared" si="2"/>
        <v>1.5299495810426411</v>
      </c>
      <c r="L23">
        <f>IF($B23="","",IF($C23="",IF($M23&gt;=Control!$B$11,Control!$B$10,$E23),MAX($E23-1,0)))</f>
        <v>0</v>
      </c>
      <c r="M23">
        <f t="shared" si="3"/>
        <v>1</v>
      </c>
    </row>
    <row r="24" spans="1:13" x14ac:dyDescent="0.2">
      <c r="A24">
        <v>6</v>
      </c>
      <c r="B24" t="s">
        <v>58</v>
      </c>
      <c r="C24" s="5">
        <v>2.3923611111111111E-2</v>
      </c>
      <c r="D24" s="2">
        <f>IF($B24="","",IFERROR(VLOOKUP($B24,'Sword in the stepping stone'!$B$2:$M$36,10,FALSE),IF($C24="","",$C24/$P$5)))</f>
        <v>1.7444269208757399</v>
      </c>
      <c r="E24">
        <f>IF($B24="","",IFERROR(VLOOKUP($B24,'Sword in the stepping stone'!$B$2:$M$36,11,FALSE),Control!$B$10))</f>
        <v>0</v>
      </c>
      <c r="F24">
        <f>IF($B24="","",IFERROR(VLOOKUP($B24,'Sword in the stepping stone'!$B$2:$M$36,12,FALSE),0))</f>
        <v>0</v>
      </c>
      <c r="G24" s="5">
        <f t="shared" si="0"/>
        <v>2.1648119325110834E-2</v>
      </c>
      <c r="H24" s="3">
        <f>IF($D24="","",IF($C24="",Control!$B$9,MAX(MIN(($G24-$C24)/$G24,Control!$B$7),Control!$B$8)))</f>
        <v>-0.05</v>
      </c>
      <c r="I24" s="2">
        <f t="shared" si="1"/>
        <v>1.9277883053044622</v>
      </c>
      <c r="J24" s="2">
        <f>IF($D24="","",IF($E24&gt;0,Control!$B$6,Control!$B$5))</f>
        <v>0.33333333333333331</v>
      </c>
      <c r="K24" s="2">
        <f t="shared" si="2"/>
        <v>1.8055473823519808</v>
      </c>
      <c r="L24">
        <f>IF($B24="","",IF($C24="",IF($M24&gt;=Control!$B$11,Control!$B$10,$E24),MAX($E24-1,0)))</f>
        <v>0</v>
      </c>
      <c r="M24">
        <f t="shared" si="3"/>
        <v>0</v>
      </c>
    </row>
    <row r="25" spans="1:13" x14ac:dyDescent="0.2">
      <c r="A25">
        <v>6</v>
      </c>
      <c r="B25" t="s">
        <v>59</v>
      </c>
      <c r="C25" s="5"/>
      <c r="D25" s="2">
        <f>IF($B25="","",IFERROR(VLOOKUP($B25,'Sword in the stepping stone'!$B$2:$M$36,10,FALSE),IF($C25="","",$C25/$P$5)))</f>
        <v>1.747798496826884</v>
      </c>
      <c r="E25">
        <f>IF($B25="","",IFERROR(VLOOKUP($B25,'Sword in the stepping stone'!$B$2:$M$36,11,FALSE),Control!$B$10))</f>
        <v>0</v>
      </c>
      <c r="F25">
        <f>IF($B25="","",IFERROR(VLOOKUP($B25,'Sword in the stepping stone'!$B$2:$M$36,12,FALSE),0))</f>
        <v>1</v>
      </c>
      <c r="G25" s="5">
        <f t="shared" si="0"/>
        <v>2.1689960159846061E-2</v>
      </c>
      <c r="H25" s="3">
        <f>IF($D25="","",IF($C25="",Control!$B$9,MAX(MIN(($G25-$C25)/$G25,Control!$B$7),Control!$B$8)))</f>
        <v>-7.4999999999999997E-2</v>
      </c>
      <c r="I25" s="2">
        <f t="shared" si="1"/>
        <v>1.747798496826884</v>
      </c>
      <c r="J25" s="2">
        <f>IF($D25="","",IF($E25&gt;0,Control!$B$6,Control!$B$5))</f>
        <v>0.33333333333333331</v>
      </c>
      <c r="K25" s="2">
        <f t="shared" si="2"/>
        <v>1.747798496826884</v>
      </c>
      <c r="L25">
        <f>IF($B25="","",IF($C25="",IF($M25&gt;=Control!$B$11,Control!$B$10,$E25),MAX($E25-1,0)))</f>
        <v>0</v>
      </c>
      <c r="M25">
        <f t="shared" si="3"/>
        <v>2</v>
      </c>
    </row>
    <row r="26" spans="1:13" x14ac:dyDescent="0.2">
      <c r="A26">
        <v>7</v>
      </c>
      <c r="B26" t="s">
        <v>60</v>
      </c>
      <c r="C26" s="5">
        <v>1.380787037037037E-2</v>
      </c>
      <c r="D26" s="2">
        <f>IF($B26="","",IFERROR(VLOOKUP($B26,'Sword in the stepping stone'!$B$2:$M$36,10,FALSE),IF($C26="","",$C26/$P$5)))</f>
        <v>1.0971076153272723</v>
      </c>
      <c r="E26">
        <f>IF($B26="","",IFERROR(VLOOKUP($B26,'Sword in the stepping stone'!$B$2:$M$36,11,FALSE),Control!$B$10))</f>
        <v>0</v>
      </c>
      <c r="F26">
        <f>IF($B26="","",IFERROR(VLOOKUP($B26,'Sword in the stepping stone'!$B$2:$M$36,12,FALSE),0))</f>
        <v>1</v>
      </c>
      <c r="G26" s="5">
        <f t="shared" si="0"/>
        <v>1.3614967921481869E-2</v>
      </c>
      <c r="H26" s="3">
        <f>IF($D26="","",IF($C26="",Control!$B$9,MAX(MIN(($G26-$C26)/$G26,Control!$B$7),Control!$B$8)))</f>
        <v>-1.4168410091083439E-2</v>
      </c>
      <c r="I26" s="2">
        <f t="shared" si="1"/>
        <v>1.1126518859352796</v>
      </c>
      <c r="J26" s="2">
        <f>IF($D26="","",IF($E26&gt;0,Control!$B$6,Control!$B$5))</f>
        <v>0.33333333333333331</v>
      </c>
      <c r="K26" s="2">
        <f t="shared" si="2"/>
        <v>1.1022890388632747</v>
      </c>
      <c r="L26">
        <f>IF($B26="","",IF($C26="",IF($M26&gt;=Control!$B$11,Control!$B$10,$E26),MAX($E26-1,0)))</f>
        <v>0</v>
      </c>
      <c r="M26">
        <f t="shared" si="3"/>
        <v>0</v>
      </c>
    </row>
    <row r="27" spans="1:13" x14ac:dyDescent="0.2">
      <c r="A27">
        <v>7</v>
      </c>
      <c r="B27" t="s">
        <v>61</v>
      </c>
      <c r="C27" s="5"/>
      <c r="D27" s="2">
        <f>IF($B27="","",IFERROR(VLOOKUP($B27,'Sword in the stepping stone'!$B$2:$M$36,10,FALSE),IF($C27="","",$C27/$P$5)))</f>
        <v>1.1250245424021512</v>
      </c>
      <c r="E27">
        <f>IF($B27="","",IFERROR(VLOOKUP($B27,'Sword in the stepping stone'!$B$2:$M$36,11,FALSE),Control!$B$10))</f>
        <v>0</v>
      </c>
      <c r="F27">
        <f>IF($B27="","",IFERROR(VLOOKUP($B27,'Sword in the stepping stone'!$B$2:$M$36,12,FALSE),0))</f>
        <v>0</v>
      </c>
      <c r="G27" s="5">
        <f t="shared" si="0"/>
        <v>1.3961413485509279E-2</v>
      </c>
      <c r="H27" s="3">
        <f>IF($D27="","",IF($C27="",Control!$B$9,MAX(MIN(($G27-$C27)/$G27,Control!$B$7),Control!$B$8)))</f>
        <v>-7.4999999999999997E-2</v>
      </c>
      <c r="I27" s="2">
        <f t="shared" si="1"/>
        <v>1.1250245424021512</v>
      </c>
      <c r="J27" s="2">
        <f>IF($D27="","",IF($E27&gt;0,Control!$B$6,Control!$B$5))</f>
        <v>0.33333333333333331</v>
      </c>
      <c r="K27" s="2">
        <f t="shared" si="2"/>
        <v>1.1250245424021512</v>
      </c>
      <c r="L27">
        <f>IF($B27="","",IF($C27="",IF($M27&gt;=Control!$B$11,Control!$B$10,$E27),MAX($E27-1,0)))</f>
        <v>0</v>
      </c>
      <c r="M27">
        <f t="shared" si="3"/>
        <v>1</v>
      </c>
    </row>
    <row r="28" spans="1:13" x14ac:dyDescent="0.2">
      <c r="A28">
        <v>7</v>
      </c>
      <c r="B28" t="s">
        <v>62</v>
      </c>
      <c r="C28" s="5"/>
      <c r="D28" s="2">
        <f>IF($B28="","",IFERROR(VLOOKUP($B28,'Sword in the stepping stone'!$B$2:$M$36,10,FALSE),IF($C28="","",$C28/$P$5)))</f>
        <v>1.3913647059147982</v>
      </c>
      <c r="E28">
        <f>IF($B28="","",IFERROR(VLOOKUP($B28,'Sword in the stepping stone'!$B$2:$M$36,11,FALSE),Control!$B$10))</f>
        <v>0</v>
      </c>
      <c r="F28">
        <f>IF($B28="","",IFERROR(VLOOKUP($B28,'Sword in the stepping stone'!$B$2:$M$36,12,FALSE),0))</f>
        <v>1</v>
      </c>
      <c r="G28" s="5">
        <f t="shared" si="0"/>
        <v>1.7266661513839855E-2</v>
      </c>
      <c r="H28" s="3">
        <f>IF($D28="","",IF($C28="",Control!$B$9,MAX(MIN(($G28-$C28)/$G28,Control!$B$7),Control!$B$8)))</f>
        <v>-7.4999999999999997E-2</v>
      </c>
      <c r="I28" s="2">
        <f t="shared" si="1"/>
        <v>1.3913647059147982</v>
      </c>
      <c r="J28" s="2">
        <f>IF($D28="","",IF($E28&gt;0,Control!$B$6,Control!$B$5))</f>
        <v>0.33333333333333331</v>
      </c>
      <c r="K28" s="2">
        <f t="shared" si="2"/>
        <v>1.3913647059147982</v>
      </c>
      <c r="L28">
        <f>IF($B28="","",IF($C28="",IF($M28&gt;=Control!$B$11,Control!$B$10,$E28),MAX($E28-1,0)))</f>
        <v>0</v>
      </c>
      <c r="M28">
        <f t="shared" si="3"/>
        <v>2</v>
      </c>
    </row>
    <row r="29" spans="1:13" x14ac:dyDescent="0.2">
      <c r="A29">
        <v>7</v>
      </c>
      <c r="B29" t="s">
        <v>63</v>
      </c>
      <c r="C29" s="5">
        <v>1.7476851851851851E-2</v>
      </c>
      <c r="D29" s="2">
        <f>IF($B29="","",IFERROR(VLOOKUP($B29,'Sword in the stepping stone'!$B$2:$M$36,10,FALSE),IF($C29="","",$C29/$P$5)))</f>
        <v>1.3904805549233448</v>
      </c>
      <c r="E29">
        <f>IF($B29="","",IFERROR(VLOOKUP($B29,'Sword in the stepping stone'!$B$2:$M$36,11,FALSE),Control!$B$10))</f>
        <v>0</v>
      </c>
      <c r="F29">
        <f>IF($B29="","",IFERROR(VLOOKUP($B29,'Sword in the stepping stone'!$B$2:$M$36,12,FALSE),0))</f>
        <v>1</v>
      </c>
      <c r="G29" s="5">
        <f t="shared" si="0"/>
        <v>1.7255689310914441E-2</v>
      </c>
      <c r="H29" s="3">
        <f>IF($D29="","",IF($C29="",Control!$B$9,MAX(MIN(($G29-$C29)/$G29,Control!$B$7),Control!$B$8)))</f>
        <v>-1.2816789694835419E-2</v>
      </c>
      <c r="I29" s="2">
        <f t="shared" si="1"/>
        <v>1.4083020517705553</v>
      </c>
      <c r="J29" s="2">
        <f>IF($D29="","",IF($E29&gt;0,Control!$B$6,Control!$B$5))</f>
        <v>0.33333333333333331</v>
      </c>
      <c r="K29" s="2">
        <f t="shared" si="2"/>
        <v>1.3964210538724149</v>
      </c>
      <c r="L29">
        <f>IF($B29="","",IF($C29="",IF($M29&gt;=Control!$B$11,Control!$B$10,$E29),MAX($E29-1,0)))</f>
        <v>0</v>
      </c>
      <c r="M29">
        <f t="shared" si="3"/>
        <v>0</v>
      </c>
    </row>
    <row r="30" spans="1:13" x14ac:dyDescent="0.2">
      <c r="A30">
        <v>7</v>
      </c>
      <c r="B30" t="s">
        <v>64</v>
      </c>
      <c r="C30" s="5">
        <v>3.6736111111111108E-2</v>
      </c>
      <c r="D30" s="2">
        <f>IF($B30="","",IFERROR(VLOOKUP($B30,'Sword in the stepping stone'!$B$2:$M$36,10,FALSE),IF($C30="","",$C30/$P$5)))</f>
        <v>1.4947421284260105</v>
      </c>
      <c r="E30">
        <f>IF($B30="","",IFERROR(VLOOKUP($B30,'Sword in the stepping stone'!$B$2:$M$36,11,FALSE),Control!$B$10))</f>
        <v>0</v>
      </c>
      <c r="F30">
        <f>IF($B30="","",IFERROR(VLOOKUP($B30,'Sword in the stepping stone'!$B$2:$M$36,12,FALSE),0))</f>
        <v>1</v>
      </c>
      <c r="G30" s="5">
        <f t="shared" si="0"/>
        <v>1.8549562362974673E-2</v>
      </c>
      <c r="H30" s="3">
        <f>IF($D30="","",IF($C30="",Control!$B$9,MAX(MIN(($G30-$C30)/$G30,Control!$B$7),Control!$B$8)))</f>
        <v>-0.05</v>
      </c>
      <c r="I30" s="2">
        <f t="shared" si="1"/>
        <v>2.9602322598143989</v>
      </c>
      <c r="J30" s="2">
        <f>IF($D30="","",IF($E30&gt;0,Control!$B$6,Control!$B$5))</f>
        <v>0.33333333333333331</v>
      </c>
      <c r="K30" s="2">
        <f t="shared" si="2"/>
        <v>1.9832388388888065</v>
      </c>
      <c r="L30">
        <f>IF($B30="","",IF($C30="",IF($M30&gt;=Control!$B$11,Control!$B$10,$E30),MAX($E30-1,0)))</f>
        <v>0</v>
      </c>
      <c r="M30">
        <f t="shared" si="3"/>
        <v>0</v>
      </c>
    </row>
    <row r="31" spans="1:13" x14ac:dyDescent="0.2">
      <c r="C31" s="5"/>
      <c r="D31" s="2" t="str">
        <f>IF($B31="","",IFERROR(VLOOKUP($B31,'Sword in the stepping stone'!$B$2:$M$36,10,FALSE),IF($C31="","",$C31/$P$5)))</f>
        <v/>
      </c>
      <c r="E31" t="str">
        <f>IF($B31="","",IFERROR(VLOOKUP($B31,'Sword in the stepping stone'!$B$2:$M$36,11,FALSE),Control!$B$10))</f>
        <v/>
      </c>
      <c r="F31" t="str">
        <f>IF($B31="","",IFERROR(VLOOKUP($B31,'Sword in the stepping stone'!$B$2:$M$36,12,FALSE),0))</f>
        <v/>
      </c>
      <c r="G31" s="5" t="str">
        <f t="shared" si="0"/>
        <v/>
      </c>
      <c r="H31" s="3" t="str">
        <f>IF($D31="","",IF($C31="",Control!$B$9,MAX(MIN(($G31-$C31)/$G31,Control!$B$7),Control!$B$8)))</f>
        <v/>
      </c>
      <c r="I31" s="2" t="str">
        <f t="shared" si="1"/>
        <v/>
      </c>
      <c r="J31" s="2" t="str">
        <f>IF($D31="","",IF($E31&gt;0,Control!$B$6,Control!$B$5))</f>
        <v/>
      </c>
      <c r="K31" s="2" t="str">
        <f t="shared" si="2"/>
        <v/>
      </c>
      <c r="L31" t="str">
        <f>IF($B31="","",IF($C31="",IF($M31&gt;=Control!$B$11,Control!$B$10,$E31),MAX($E31-1,0)))</f>
        <v/>
      </c>
      <c r="M31" t="str">
        <f t="shared" si="3"/>
        <v/>
      </c>
    </row>
    <row r="32" spans="1:13" x14ac:dyDescent="0.2">
      <c r="C32" s="5"/>
      <c r="D32" s="2" t="str">
        <f>IF($B32="","",IFERROR(VLOOKUP($B32,'Sword in the stepping stone'!$B$2:$M$36,10,FALSE),IF($C32="","",$C32/$P$5)))</f>
        <v/>
      </c>
      <c r="E32" t="str">
        <f>IF($B32="","",IFERROR(VLOOKUP($B32,'Sword in the stepping stone'!$B$2:$M$36,11,FALSE),Control!$B$10))</f>
        <v/>
      </c>
      <c r="F32" t="str">
        <f>IF($B32="","",IFERROR(VLOOKUP($B32,'Sword in the stepping stone'!$B$2:$M$36,12,FALSE),0))</f>
        <v/>
      </c>
      <c r="G32" s="5" t="str">
        <f t="shared" si="0"/>
        <v/>
      </c>
      <c r="H32" s="3" t="str">
        <f>IF($D32="","",IF($C32="",Control!$B$9,MAX(MIN(($G32-$C32)/$G32,Control!$B$7),Control!$B$8)))</f>
        <v/>
      </c>
      <c r="I32" s="2" t="str">
        <f t="shared" si="1"/>
        <v/>
      </c>
      <c r="J32" s="2" t="str">
        <f>IF($D32="","",IF($E32&gt;0,Control!$B$6,Control!$B$5))</f>
        <v/>
      </c>
      <c r="K32" s="2" t="str">
        <f t="shared" si="2"/>
        <v/>
      </c>
      <c r="L32" t="str">
        <f>IF($B32="","",IF($C32="",IF($M32&gt;=Control!$B$11,Control!$B$10,$E32),MAX($E32-1,0)))</f>
        <v/>
      </c>
      <c r="M32" t="str">
        <f t="shared" si="3"/>
        <v/>
      </c>
    </row>
    <row r="33" spans="3:13" x14ac:dyDescent="0.2">
      <c r="C33" s="5"/>
      <c r="D33" s="2" t="str">
        <f>IF($B33="","",IFERROR(VLOOKUP($B33,'Sword in the stepping stone'!$B$2:$M$36,10,FALSE),IF($C33="","",$C33/$P$5)))</f>
        <v/>
      </c>
      <c r="E33" t="str">
        <f>IF($B33="","",IFERROR(VLOOKUP($B33,'Sword in the stepping stone'!$B$2:$M$36,11,FALSE),Control!$B$10))</f>
        <v/>
      </c>
      <c r="F33" t="str">
        <f>IF($B33="","",IFERROR(VLOOKUP($B33,'Sword in the stepping stone'!$B$2:$M$36,12,FALSE),0))</f>
        <v/>
      </c>
      <c r="G33" s="5" t="str">
        <f t="shared" si="0"/>
        <v/>
      </c>
      <c r="H33" s="3" t="str">
        <f>IF($D33="","",IF($C33="",Control!$B$9,MAX(MIN(($G33-$C33)/$G33,Control!$B$7),Control!$B$8)))</f>
        <v/>
      </c>
      <c r="I33" s="2" t="str">
        <f t="shared" si="1"/>
        <v/>
      </c>
      <c r="J33" s="2" t="str">
        <f>IF($D33="","",IF($E33&gt;0,Control!$B$6,Control!$B$5))</f>
        <v/>
      </c>
      <c r="K33" s="2" t="str">
        <f t="shared" si="2"/>
        <v/>
      </c>
      <c r="L33" t="str">
        <f>IF($B33="","",IF($C33="",IF($M33&gt;=Control!$B$11,Control!$B$10,$E33),MAX($E33-1,0)))</f>
        <v/>
      </c>
      <c r="M33" t="str">
        <f t="shared" si="3"/>
        <v/>
      </c>
    </row>
    <row r="34" spans="3:13" x14ac:dyDescent="0.2">
      <c r="C34" s="5"/>
      <c r="D34" s="2" t="str">
        <f>IF($B34="","",IFERROR(VLOOKUP($B34,'Sword in the stepping stone'!$B$2:$M$36,10,FALSE),IF($C34="","",$C34/$P$5)))</f>
        <v/>
      </c>
      <c r="E34" t="str">
        <f>IF($B34="","",IFERROR(VLOOKUP($B34,'Sword in the stepping stone'!$B$2:$M$36,11,FALSE),Control!$B$10))</f>
        <v/>
      </c>
      <c r="F34" t="str">
        <f>IF($B34="","",IFERROR(VLOOKUP($B34,'Sword in the stepping stone'!$B$2:$M$36,12,FALSE),0))</f>
        <v/>
      </c>
      <c r="G34" s="5" t="str">
        <f t="shared" si="0"/>
        <v/>
      </c>
      <c r="H34" s="3" t="str">
        <f>IF($D34="","",IF($C34="",Control!$B$9,MAX(MIN(($G34-$C34)/$G34,Control!$B$7),Control!$B$8)))</f>
        <v/>
      </c>
      <c r="I34" s="2" t="str">
        <f t="shared" si="1"/>
        <v/>
      </c>
      <c r="J34" s="2" t="str">
        <f>IF($D34="","",IF($E34&gt;0,Control!$B$6,Control!$B$5))</f>
        <v/>
      </c>
      <c r="K34" s="2" t="str">
        <f t="shared" si="2"/>
        <v/>
      </c>
      <c r="L34" t="str">
        <f>IF($B34="","",IF($C34="",IF($M34&gt;=Control!$B$11,Control!$B$10,$E34),MAX($E34-1,0)))</f>
        <v/>
      </c>
      <c r="M34" t="str">
        <f t="shared" si="3"/>
        <v/>
      </c>
    </row>
    <row r="35" spans="3:13" x14ac:dyDescent="0.2">
      <c r="C35" s="5"/>
      <c r="D35" s="2" t="str">
        <f>IF($B35="","",IFERROR(VLOOKUP($B35,'Sword in the stepping stone'!$B$2:$M$36,10,FALSE),IF($C35="","",$C35/$P$5)))</f>
        <v/>
      </c>
      <c r="E35" t="str">
        <f>IF($B35="","",IFERROR(VLOOKUP($B35,'Sword in the stepping stone'!$B$2:$M$36,11,FALSE),Control!$B$10))</f>
        <v/>
      </c>
      <c r="F35" t="str">
        <f>IF($B35="","",IFERROR(VLOOKUP($B35,'Sword in the stepping stone'!$B$2:$M$36,12,FALSE),0))</f>
        <v/>
      </c>
      <c r="G35" s="5" t="str">
        <f t="shared" si="0"/>
        <v/>
      </c>
      <c r="H35" s="3" t="str">
        <f>IF($D35="","",IF($C35="",Control!$B$9,MAX(MIN(($G35-$C35)/$G35,Control!$B$7),Control!$B$8)))</f>
        <v/>
      </c>
      <c r="I35" s="2" t="str">
        <f t="shared" si="1"/>
        <v/>
      </c>
      <c r="J35" s="2" t="str">
        <f>IF($D35="","",IF($E35&gt;0,Control!$B$6,Control!$B$5))</f>
        <v/>
      </c>
      <c r="K35" s="2" t="str">
        <f t="shared" si="2"/>
        <v/>
      </c>
      <c r="L35" t="str">
        <f>IF($B35="","",IF($C35="",IF($M35&gt;=Control!$B$11,Control!$B$10,$E35),MAX($E35-1,0)))</f>
        <v/>
      </c>
      <c r="M35" t="str">
        <f t="shared" si="3"/>
        <v/>
      </c>
    </row>
    <row r="36" spans="3:13" x14ac:dyDescent="0.2">
      <c r="C36" s="5"/>
      <c r="D36" s="2" t="str">
        <f>IF($B36="","",IFERROR(VLOOKUP($B36,'Sword in the stepping stone'!$B$2:$M$36,10,FALSE),IF($C36="","",$C36/$P$5)))</f>
        <v/>
      </c>
      <c r="E36" t="str">
        <f>IF($B36="","",IFERROR(VLOOKUP($B36,'Sword in the stepping stone'!$B$2:$M$36,11,FALSE),Control!$B$10))</f>
        <v/>
      </c>
      <c r="F36" t="str">
        <f>IF($B36="","",IFERROR(VLOOKUP($B36,'Sword in the stepping stone'!$B$2:$M$36,12,FALSE),0))</f>
        <v/>
      </c>
      <c r="G36" s="5" t="str">
        <f t="shared" si="0"/>
        <v/>
      </c>
      <c r="H36" s="3" t="str">
        <f>IF($D36="","",IF($C36="",Control!$B$9,MAX(MIN(($G36-$C36)/$G36,Control!$B$7),Control!$B$8)))</f>
        <v/>
      </c>
      <c r="I36" s="2" t="str">
        <f t="shared" si="1"/>
        <v/>
      </c>
      <c r="J36" s="2" t="str">
        <f>IF($D36="","",IF($E36&gt;0,Control!$B$6,Control!$B$5))</f>
        <v/>
      </c>
      <c r="K36" s="2" t="str">
        <f t="shared" si="2"/>
        <v/>
      </c>
      <c r="L36" t="str">
        <f>IF($B36="","",IF($C36="",IF($M36&gt;=Control!$B$11,Control!$B$10,$E36),MAX($E36-1,0)))</f>
        <v/>
      </c>
      <c r="M36" t="str">
        <f t="shared" si="3"/>
        <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6"/>
  <sheetViews>
    <sheetView workbookViewId="0"/>
  </sheetViews>
  <sheetFormatPr baseColWidth="10" defaultColWidth="8.83203125" defaultRowHeight="15" x14ac:dyDescent="0.2"/>
  <cols>
    <col min="2" max="2" width="18" customWidth="1"/>
    <col min="3" max="4" width="11" customWidth="1"/>
    <col min="5" max="6" width="13" customWidth="1"/>
    <col min="7" max="11" width="11" customWidth="1"/>
    <col min="12" max="13" width="13" customWidth="1"/>
    <col min="15" max="15" width="28" customWidth="1"/>
    <col min="16" max="16" width="11" customWidth="1"/>
    <col min="19" max="19" width="11" customWidth="1"/>
  </cols>
  <sheetData>
    <row r="1" spans="1:20" x14ac:dyDescent="0.2">
      <c r="A1" s="1" t="s">
        <v>3</v>
      </c>
      <c r="B1" s="1" t="s">
        <v>4</v>
      </c>
      <c r="C1" s="1" t="s">
        <v>65</v>
      </c>
      <c r="D1" s="1" t="s">
        <v>66</v>
      </c>
      <c r="E1" s="1" t="s">
        <v>67</v>
      </c>
      <c r="F1" s="1" t="s">
        <v>68</v>
      </c>
      <c r="G1" s="1" t="s">
        <v>7</v>
      </c>
      <c r="H1" s="1" t="s">
        <v>8</v>
      </c>
      <c r="I1" s="1" t="s">
        <v>69</v>
      </c>
      <c r="J1" s="1" t="s">
        <v>70</v>
      </c>
      <c r="K1" s="1" t="s">
        <v>71</v>
      </c>
      <c r="L1" s="1" t="s">
        <v>72</v>
      </c>
      <c r="M1" s="1" t="s">
        <v>73</v>
      </c>
      <c r="O1" s="1" t="s">
        <v>74</v>
      </c>
      <c r="R1" s="1" t="s">
        <v>3</v>
      </c>
      <c r="S1" s="1" t="s">
        <v>9</v>
      </c>
      <c r="T1" s="1" t="s">
        <v>5</v>
      </c>
    </row>
    <row r="2" spans="1:20" x14ac:dyDescent="0.2">
      <c r="A2">
        <v>1</v>
      </c>
      <c r="B2" t="s">
        <v>13</v>
      </c>
      <c r="C2" s="5"/>
      <c r="D2" s="2">
        <f>IF($B2="","",IFERROR(VLOOKUP($B2,'Witches Triple Crown'!$B$2:$M$36,10,FALSE),IF($C2="","",$C2/$P$5)))</f>
        <v>1.3136003310057558</v>
      </c>
      <c r="E2">
        <f>IF($B2="","",IFERROR(VLOOKUP($B2,'Witches Triple Crown'!$B$2:$M$36,11,FALSE),Control!$B$10))</f>
        <v>0</v>
      </c>
      <c r="F2">
        <f>IF($B2="","",IFERROR(VLOOKUP($B2,'Witches Triple Crown'!$B$2:$M$36,12,FALSE),0))</f>
        <v>0</v>
      </c>
      <c r="G2" s="5" t="e">
        <f t="shared" ref="G2:G36" si="0">IF($D2="","",$D2*$P$5)</f>
        <v>#NUM!</v>
      </c>
      <c r="H2" s="3">
        <f>IF($D2="","",IF($C2="",Control!$B$9,MAX(MIN(($G2-$C2)/$G2,Control!$B$7),Control!$B$8)))</f>
        <v>-7.4999999999999997E-2</v>
      </c>
      <c r="I2" s="2">
        <f t="shared" ref="I2:I36" si="1">IF($D2="","",IF($C2="",$D2,$C2/$P$5))</f>
        <v>1.3136003310057558</v>
      </c>
      <c r="J2" s="2">
        <f>IF($D2="","",IF($E2&gt;0,Control!$B$6,Control!$B$5))</f>
        <v>0.33333333333333331</v>
      </c>
      <c r="K2" s="2">
        <f t="shared" ref="K2:K36" si="2">IF($D2="","",$D2-$J2*($D2-$I2))</f>
        <v>1.3136003310057558</v>
      </c>
      <c r="L2">
        <f>IF($B2="","",IF($C2="",IF($M2&gt;=Control!$B$11,Control!$B$10,$E2),MAX($E2-1,0)))</f>
        <v>0</v>
      </c>
      <c r="M2">
        <f t="shared" ref="M2:M36" si="3">IF($B2="","",IF($C2="",$F2+1,0))</f>
        <v>1</v>
      </c>
      <c r="O2" t="str">
        <f>Control!$B$2</f>
        <v>Ben Wernick</v>
      </c>
      <c r="P2" s="5" t="str">
        <f>IFERROR(IF(VLOOKUP($O2,$B$2:$C$36,2,FALSE)=0,"",VLOOKUP($O2,$B$2:$C$36,2,FALSE)/VLOOKUP($O2,$B$2:$D$36,3,FALSE)),"")</f>
        <v/>
      </c>
      <c r="R2">
        <v>1</v>
      </c>
      <c r="S2" s="3">
        <f t="shared" ref="S2:S8" si="4">AVERAGEIF($A$2:$A$36,$R2,$H$2:$H$36)</f>
        <v>-7.4999999999999997E-2</v>
      </c>
      <c r="T2">
        <f t="shared" ref="T2:T8" si="5">RANK($S2,$S$2:$S$8)</f>
        <v>1</v>
      </c>
    </row>
    <row r="3" spans="1:20" x14ac:dyDescent="0.2">
      <c r="A3">
        <v>1</v>
      </c>
      <c r="B3" t="s">
        <v>39</v>
      </c>
      <c r="C3" s="5"/>
      <c r="D3" s="2">
        <f>IF($B3="","",IFERROR(VLOOKUP($B3,'Witches Triple Crown'!$B$2:$M$36,10,FALSE),IF($C3="","",$C3/$P$5)))</f>
        <v>1.367136552841139</v>
      </c>
      <c r="E3">
        <f>IF($B3="","",IFERROR(VLOOKUP($B3,'Witches Triple Crown'!$B$2:$M$36,11,FALSE),Control!$B$10))</f>
        <v>0</v>
      </c>
      <c r="F3">
        <f>IF($B3="","",IFERROR(VLOOKUP($B3,'Witches Triple Crown'!$B$2:$M$36,12,FALSE),0))</f>
        <v>0</v>
      </c>
      <c r="G3" s="5" t="e">
        <f t="shared" si="0"/>
        <v>#NUM!</v>
      </c>
      <c r="H3" s="3">
        <f>IF($D3="","",IF($C3="",Control!$B$9,MAX(MIN(($G3-$C3)/$G3,Control!$B$7),Control!$B$8)))</f>
        <v>-7.4999999999999997E-2</v>
      </c>
      <c r="I3" s="2">
        <f t="shared" si="1"/>
        <v>1.367136552841139</v>
      </c>
      <c r="J3" s="2">
        <f>IF($D3="","",IF($E3&gt;0,Control!$B$6,Control!$B$5))</f>
        <v>0.33333333333333331</v>
      </c>
      <c r="K3" s="2">
        <f t="shared" si="2"/>
        <v>1.367136552841139</v>
      </c>
      <c r="L3">
        <f>IF($B3="","",IF($C3="",IF($M3&gt;=Control!$B$11,Control!$B$10,$E3),MAX($E3-1,0)))</f>
        <v>0</v>
      </c>
      <c r="M3">
        <f t="shared" si="3"/>
        <v>1</v>
      </c>
      <c r="O3" t="str">
        <f>Control!$B$3</f>
        <v>Mark Emery</v>
      </c>
      <c r="P3" s="5" t="str">
        <f>IFERROR(IF(VLOOKUP($O3,$B$2:$C$36,2,FALSE)=0,"",VLOOKUP($O3,$B$2:$C$36,2,FALSE)/VLOOKUP($O3,$B$2:$D$36,3,FALSE)),"")</f>
        <v/>
      </c>
      <c r="R3">
        <v>2</v>
      </c>
      <c r="S3" s="3">
        <f t="shared" si="4"/>
        <v>-7.4999999999999997E-2</v>
      </c>
      <c r="T3">
        <f t="shared" si="5"/>
        <v>1</v>
      </c>
    </row>
    <row r="4" spans="1:20" x14ac:dyDescent="0.2">
      <c r="A4">
        <v>1</v>
      </c>
      <c r="B4" t="s">
        <v>17</v>
      </c>
      <c r="C4" s="5"/>
      <c r="D4" s="2">
        <f>IF($B4="","",IFERROR(VLOOKUP($B4,'Witches Triple Crown'!$B$2:$M$36,10,FALSE),IF($C4="","",$C4/$P$5)))</f>
        <v>1.168258549738598</v>
      </c>
      <c r="E4">
        <f>IF($B4="","",IFERROR(VLOOKUP($B4,'Witches Triple Crown'!$B$2:$M$36,11,FALSE),Control!$B$10))</f>
        <v>0</v>
      </c>
      <c r="F4">
        <f>IF($B4="","",IFERROR(VLOOKUP($B4,'Witches Triple Crown'!$B$2:$M$36,12,FALSE),0))</f>
        <v>1</v>
      </c>
      <c r="G4" s="5" t="e">
        <f t="shared" si="0"/>
        <v>#NUM!</v>
      </c>
      <c r="H4" s="3">
        <f>IF($D4="","",IF($C4="",Control!$B$9,MAX(MIN(($G4-$C4)/$G4,Control!$B$7),Control!$B$8)))</f>
        <v>-7.4999999999999997E-2</v>
      </c>
      <c r="I4" s="2">
        <f t="shared" si="1"/>
        <v>1.168258549738598</v>
      </c>
      <c r="J4" s="2">
        <f>IF($D4="","",IF($E4&gt;0,Control!$B$6,Control!$B$5))</f>
        <v>0.33333333333333331</v>
      </c>
      <c r="K4" s="2">
        <f t="shared" si="2"/>
        <v>1.168258549738598</v>
      </c>
      <c r="L4">
        <f>IF($B4="","",IF($C4="",IF($M4&gt;=Control!$B$11,Control!$B$10,$E4),MAX($E4-1,0)))</f>
        <v>0</v>
      </c>
      <c r="M4">
        <f t="shared" si="3"/>
        <v>2</v>
      </c>
      <c r="O4" t="str">
        <f>Control!$B$4</f>
        <v>Anne Marie Moon</v>
      </c>
      <c r="P4" s="5" t="str">
        <f>IFERROR(IF(VLOOKUP($O4,$B$2:$C$36,2,FALSE)=0,"",VLOOKUP($O4,$B$2:$C$36,2,FALSE)/VLOOKUP($O4,$B$2:$D$36,3,FALSE)),"")</f>
        <v/>
      </c>
      <c r="R4">
        <v>3</v>
      </c>
      <c r="S4" s="3">
        <f t="shared" si="4"/>
        <v>-7.4999999999999997E-2</v>
      </c>
      <c r="T4">
        <f t="shared" si="5"/>
        <v>1</v>
      </c>
    </row>
    <row r="5" spans="1:20" x14ac:dyDescent="0.2">
      <c r="A5">
        <v>1</v>
      </c>
      <c r="B5" t="s">
        <v>40</v>
      </c>
      <c r="C5" s="5"/>
      <c r="D5" s="2">
        <f>IF($B5="","",IFERROR(VLOOKUP($B5,'Witches Triple Crown'!$B$2:$M$36,10,FALSE),IF($C5="","",$C5/$P$5)))</f>
        <v>1.2571858340257718</v>
      </c>
      <c r="E5">
        <f>IF($B5="","",IFERROR(VLOOKUP($B5,'Witches Triple Crown'!$B$2:$M$36,11,FALSE),Control!$B$10))</f>
        <v>0</v>
      </c>
      <c r="F5">
        <f>IF($B5="","",IFERROR(VLOOKUP($B5,'Witches Triple Crown'!$B$2:$M$36,12,FALSE),0))</f>
        <v>1</v>
      </c>
      <c r="G5" s="5" t="e">
        <f t="shared" si="0"/>
        <v>#NUM!</v>
      </c>
      <c r="H5" s="3">
        <f>IF($D5="","",IF($C5="",Control!$B$9,MAX(MIN(($G5-$C5)/$G5,Control!$B$7),Control!$B$8)))</f>
        <v>-7.4999999999999997E-2</v>
      </c>
      <c r="I5" s="2">
        <f t="shared" si="1"/>
        <v>1.2571858340257718</v>
      </c>
      <c r="J5" s="2">
        <f>IF($D5="","",IF($E5&gt;0,Control!$B$6,Control!$B$5))</f>
        <v>0.33333333333333331</v>
      </c>
      <c r="K5" s="2">
        <f t="shared" si="2"/>
        <v>1.2571858340257718</v>
      </c>
      <c r="L5">
        <f>IF($B5="","",IF($C5="",IF($M5&gt;=Control!$B$11,Control!$B$10,$E5),MAX($E5-1,0)))</f>
        <v>0</v>
      </c>
      <c r="M5">
        <f t="shared" si="3"/>
        <v>2</v>
      </c>
      <c r="O5" s="1" t="s">
        <v>75</v>
      </c>
      <c r="P5" s="5" t="e">
        <f>MEDIAN(P2:P4)</f>
        <v>#NUM!</v>
      </c>
      <c r="R5">
        <v>4</v>
      </c>
      <c r="S5" s="3">
        <f t="shared" si="4"/>
        <v>-7.4999999999999997E-2</v>
      </c>
      <c r="T5">
        <f t="shared" si="5"/>
        <v>1</v>
      </c>
    </row>
    <row r="6" spans="1:20" x14ac:dyDescent="0.2">
      <c r="A6">
        <v>2</v>
      </c>
      <c r="B6" t="s">
        <v>41</v>
      </c>
      <c r="C6" s="5"/>
      <c r="D6" s="2">
        <f>IF($B6="","",IFERROR(VLOOKUP($B6,'Witches Triple Crown'!$B$2:$M$36,10,FALSE),IF($C6="","",$C6/$P$5)))</f>
        <v>1.0620176539585211</v>
      </c>
      <c r="E6">
        <f>IF($B6="","",IFERROR(VLOOKUP($B6,'Witches Triple Crown'!$B$2:$M$36,11,FALSE),Control!$B$10))</f>
        <v>0</v>
      </c>
      <c r="F6">
        <f>IF($B6="","",IFERROR(VLOOKUP($B6,'Witches Triple Crown'!$B$2:$M$36,12,FALSE),0))</f>
        <v>0</v>
      </c>
      <c r="G6" s="5" t="e">
        <f t="shared" si="0"/>
        <v>#NUM!</v>
      </c>
      <c r="H6" s="3">
        <f>IF($D6="","",IF($C6="",Control!$B$9,MAX(MIN(($G6-$C6)/$G6,Control!$B$7),Control!$B$8)))</f>
        <v>-7.4999999999999997E-2</v>
      </c>
      <c r="I6" s="2">
        <f t="shared" si="1"/>
        <v>1.0620176539585211</v>
      </c>
      <c r="J6" s="2">
        <f>IF($D6="","",IF($E6&gt;0,Control!$B$6,Control!$B$5))</f>
        <v>0.33333333333333331</v>
      </c>
      <c r="K6" s="2">
        <f t="shared" si="2"/>
        <v>1.0620176539585211</v>
      </c>
      <c r="L6">
        <f>IF($B6="","",IF($C6="",IF($M6&gt;=Control!$B$11,Control!$B$10,$E6),MAX($E6-1,0)))</f>
        <v>0</v>
      </c>
      <c r="M6">
        <f t="shared" si="3"/>
        <v>1</v>
      </c>
      <c r="R6">
        <v>5</v>
      </c>
      <c r="S6" s="3">
        <f t="shared" si="4"/>
        <v>-7.4999999999999997E-2</v>
      </c>
      <c r="T6">
        <f t="shared" si="5"/>
        <v>1</v>
      </c>
    </row>
    <row r="7" spans="1:20" x14ac:dyDescent="0.2">
      <c r="A7">
        <v>2</v>
      </c>
      <c r="B7" t="s">
        <v>15</v>
      </c>
      <c r="C7" s="5"/>
      <c r="D7" s="2">
        <f>IF($B7="","",IFERROR(VLOOKUP($B7,'Witches Triple Crown'!$B$2:$M$36,10,FALSE),IF($C7="","",$C7/$P$5)))</f>
        <v>0.99138057012722969</v>
      </c>
      <c r="E7">
        <f>IF($B7="","",IFERROR(VLOOKUP($B7,'Witches Triple Crown'!$B$2:$M$36,11,FALSE),Control!$B$10))</f>
        <v>0</v>
      </c>
      <c r="F7">
        <f>IF($B7="","",IFERROR(VLOOKUP($B7,'Witches Triple Crown'!$B$2:$M$36,12,FALSE),0))</f>
        <v>0</v>
      </c>
      <c r="G7" s="5" t="e">
        <f t="shared" si="0"/>
        <v>#NUM!</v>
      </c>
      <c r="H7" s="3">
        <f>IF($D7="","",IF($C7="",Control!$B$9,MAX(MIN(($G7-$C7)/$G7,Control!$B$7),Control!$B$8)))</f>
        <v>-7.4999999999999997E-2</v>
      </c>
      <c r="I7" s="2">
        <f t="shared" si="1"/>
        <v>0.99138057012722969</v>
      </c>
      <c r="J7" s="2">
        <f>IF($D7="","",IF($E7&gt;0,Control!$B$6,Control!$B$5))</f>
        <v>0.33333333333333331</v>
      </c>
      <c r="K7" s="2">
        <f t="shared" si="2"/>
        <v>0.99138057012722969</v>
      </c>
      <c r="L7">
        <f>IF($B7="","",IF($C7="",IF($M7&gt;=Control!$B$11,Control!$B$10,$E7),MAX($E7-1,0)))</f>
        <v>0</v>
      </c>
      <c r="M7">
        <f t="shared" si="3"/>
        <v>1</v>
      </c>
      <c r="R7">
        <v>6</v>
      </c>
      <c r="S7" s="3">
        <f t="shared" si="4"/>
        <v>-7.4999999999999997E-2</v>
      </c>
      <c r="T7">
        <f t="shared" si="5"/>
        <v>1</v>
      </c>
    </row>
    <row r="8" spans="1:20" x14ac:dyDescent="0.2">
      <c r="A8">
        <v>2</v>
      </c>
      <c r="B8" t="s">
        <v>42</v>
      </c>
      <c r="C8" s="5"/>
      <c r="D8" s="2">
        <f>IF($B8="","",IFERROR(VLOOKUP($B8,'Witches Triple Crown'!$B$2:$M$36,10,FALSE),IF($C8="","",$C8/$P$5)))</f>
        <v>1.1210457392239788</v>
      </c>
      <c r="E8">
        <f>IF($B8="","",IFERROR(VLOOKUP($B8,'Witches Triple Crown'!$B$2:$M$36,11,FALSE),Control!$B$10))</f>
        <v>0</v>
      </c>
      <c r="F8">
        <f>IF($B8="","",IFERROR(VLOOKUP($B8,'Witches Triple Crown'!$B$2:$M$36,12,FALSE),0))</f>
        <v>0</v>
      </c>
      <c r="G8" s="5" t="e">
        <f t="shared" si="0"/>
        <v>#NUM!</v>
      </c>
      <c r="H8" s="3">
        <f>IF($D8="","",IF($C8="",Control!$B$9,MAX(MIN(($G8-$C8)/$G8,Control!$B$7),Control!$B$8)))</f>
        <v>-7.4999999999999997E-2</v>
      </c>
      <c r="I8" s="2">
        <f t="shared" si="1"/>
        <v>1.1210457392239788</v>
      </c>
      <c r="J8" s="2">
        <f>IF($D8="","",IF($E8&gt;0,Control!$B$6,Control!$B$5))</f>
        <v>0.33333333333333331</v>
      </c>
      <c r="K8" s="2">
        <f t="shared" si="2"/>
        <v>1.1210457392239788</v>
      </c>
      <c r="L8">
        <f>IF($B8="","",IF($C8="",IF($M8&gt;=Control!$B$11,Control!$B$10,$E8),MAX($E8-1,0)))</f>
        <v>0</v>
      </c>
      <c r="M8">
        <f t="shared" si="3"/>
        <v>1</v>
      </c>
      <c r="R8">
        <v>7</v>
      </c>
      <c r="S8" s="3">
        <f t="shared" si="4"/>
        <v>-7.4999999999999997E-2</v>
      </c>
      <c r="T8">
        <f t="shared" si="5"/>
        <v>1</v>
      </c>
    </row>
    <row r="9" spans="1:20" x14ac:dyDescent="0.2">
      <c r="A9">
        <v>2</v>
      </c>
      <c r="B9" t="s">
        <v>43</v>
      </c>
      <c r="C9" s="5"/>
      <c r="D9" s="2">
        <f>IF($B9="","",IFERROR(VLOOKUP($B9,'Witches Triple Crown'!$B$2:$M$36,10,FALSE),IF($C9="","",$C9/$P$5)))</f>
        <v>1.560072642935628</v>
      </c>
      <c r="E9">
        <f>IF($B9="","",IFERROR(VLOOKUP($B9,'Witches Triple Crown'!$B$2:$M$36,11,FALSE),Control!$B$10))</f>
        <v>0</v>
      </c>
      <c r="F9">
        <f>IF($B9="","",IFERROR(VLOOKUP($B9,'Witches Triple Crown'!$B$2:$M$36,12,FALSE),0))</f>
        <v>0</v>
      </c>
      <c r="G9" s="5" t="e">
        <f t="shared" si="0"/>
        <v>#NUM!</v>
      </c>
      <c r="H9" s="3">
        <f>IF($D9="","",IF($C9="",Control!$B$9,MAX(MIN(($G9-$C9)/$G9,Control!$B$7),Control!$B$8)))</f>
        <v>-7.4999999999999997E-2</v>
      </c>
      <c r="I9" s="2">
        <f t="shared" si="1"/>
        <v>1.560072642935628</v>
      </c>
      <c r="J9" s="2">
        <f>IF($D9="","",IF($E9&gt;0,Control!$B$6,Control!$B$5))</f>
        <v>0.33333333333333331</v>
      </c>
      <c r="K9" s="2">
        <f t="shared" si="2"/>
        <v>1.560072642935628</v>
      </c>
      <c r="L9">
        <f>IF($B9="","",IF($C9="",IF($M9&gt;=Control!$B$11,Control!$B$10,$E9),MAX($E9-1,0)))</f>
        <v>0</v>
      </c>
      <c r="M9">
        <f t="shared" si="3"/>
        <v>1</v>
      </c>
    </row>
    <row r="10" spans="1:20" x14ac:dyDescent="0.2">
      <c r="A10">
        <v>3</v>
      </c>
      <c r="B10" t="s">
        <v>44</v>
      </c>
      <c r="C10" s="5"/>
      <c r="D10" s="2">
        <f>IF($B10="","",IFERROR(VLOOKUP($B10,'Witches Triple Crown'!$B$2:$M$36,10,FALSE),IF($C10="","",$C10/$P$5)))</f>
        <v>1.2084446467200616</v>
      </c>
      <c r="E10">
        <f>IF($B10="","",IFERROR(VLOOKUP($B10,'Witches Triple Crown'!$B$2:$M$36,11,FALSE),Control!$B$10))</f>
        <v>0</v>
      </c>
      <c r="F10">
        <f>IF($B10="","",IFERROR(VLOOKUP($B10,'Witches Triple Crown'!$B$2:$M$36,12,FALSE),0))</f>
        <v>0</v>
      </c>
      <c r="G10" s="5" t="e">
        <f t="shared" si="0"/>
        <v>#NUM!</v>
      </c>
      <c r="H10" s="3">
        <f>IF($D10="","",IF($C10="",Control!$B$9,MAX(MIN(($G10-$C10)/$G10,Control!$B$7),Control!$B$8)))</f>
        <v>-7.4999999999999997E-2</v>
      </c>
      <c r="I10" s="2">
        <f t="shared" si="1"/>
        <v>1.2084446467200616</v>
      </c>
      <c r="J10" s="2">
        <f>IF($D10="","",IF($E10&gt;0,Control!$B$6,Control!$B$5))</f>
        <v>0.33333333333333331</v>
      </c>
      <c r="K10" s="2">
        <f t="shared" si="2"/>
        <v>1.2084446467200616</v>
      </c>
      <c r="L10">
        <f>IF($B10="","",IF($C10="",IF($M10&gt;=Control!$B$11,Control!$B$10,$E10),MAX($E10-1,0)))</f>
        <v>0</v>
      </c>
      <c r="M10">
        <f t="shared" si="3"/>
        <v>1</v>
      </c>
    </row>
    <row r="11" spans="1:20" x14ac:dyDescent="0.2">
      <c r="A11">
        <v>3</v>
      </c>
      <c r="B11" t="s">
        <v>45</v>
      </c>
      <c r="C11" s="5"/>
      <c r="D11" s="2">
        <f>IF($B11="","",IFERROR(VLOOKUP($B11,'Witches Triple Crown'!$B$2:$M$36,10,FALSE),IF($C11="","",$C11/$P$5)))</f>
        <v>1.2354045892022745</v>
      </c>
      <c r="E11">
        <f>IF($B11="","",IFERROR(VLOOKUP($B11,'Witches Triple Crown'!$B$2:$M$36,11,FALSE),Control!$B$10))</f>
        <v>0</v>
      </c>
      <c r="F11">
        <f>IF($B11="","",IFERROR(VLOOKUP($B11,'Witches Triple Crown'!$B$2:$M$36,12,FALSE),0))</f>
        <v>1</v>
      </c>
      <c r="G11" s="5" t="e">
        <f t="shared" si="0"/>
        <v>#NUM!</v>
      </c>
      <c r="H11" s="3">
        <f>IF($D11="","",IF($C11="",Control!$B$9,MAX(MIN(($G11-$C11)/$G11,Control!$B$7),Control!$B$8)))</f>
        <v>-7.4999999999999997E-2</v>
      </c>
      <c r="I11" s="2">
        <f t="shared" si="1"/>
        <v>1.2354045892022745</v>
      </c>
      <c r="J11" s="2">
        <f>IF($D11="","",IF($E11&gt;0,Control!$B$6,Control!$B$5))</f>
        <v>0.33333333333333331</v>
      </c>
      <c r="K11" s="2">
        <f t="shared" si="2"/>
        <v>1.2354045892022745</v>
      </c>
      <c r="L11">
        <f>IF($B11="","",IF($C11="",IF($M11&gt;=Control!$B$11,Control!$B$10,$E11),MAX($E11-1,0)))</f>
        <v>0</v>
      </c>
      <c r="M11">
        <f t="shared" si="3"/>
        <v>2</v>
      </c>
    </row>
    <row r="12" spans="1:20" x14ac:dyDescent="0.2">
      <c r="A12">
        <v>3</v>
      </c>
      <c r="B12" t="s">
        <v>46</v>
      </c>
      <c r="C12" s="5"/>
      <c r="D12" s="2">
        <f>IF($B12="","",IFERROR(VLOOKUP($B12,'Witches Triple Crown'!$B$2:$M$36,10,FALSE),IF($C12="","",$C12/$P$5)))</f>
        <v>1.3428784037538284</v>
      </c>
      <c r="E12">
        <f>IF($B12="","",IFERROR(VLOOKUP($B12,'Witches Triple Crown'!$B$2:$M$36,11,FALSE),Control!$B$10))</f>
        <v>0</v>
      </c>
      <c r="F12">
        <f>IF($B12="","",IFERROR(VLOOKUP($B12,'Witches Triple Crown'!$B$2:$M$36,12,FALSE),0))</f>
        <v>1</v>
      </c>
      <c r="G12" s="5" t="e">
        <f t="shared" si="0"/>
        <v>#NUM!</v>
      </c>
      <c r="H12" s="3">
        <f>IF($D12="","",IF($C12="",Control!$B$9,MAX(MIN(($G12-$C12)/$G12,Control!$B$7),Control!$B$8)))</f>
        <v>-7.4999999999999997E-2</v>
      </c>
      <c r="I12" s="2">
        <f t="shared" si="1"/>
        <v>1.3428784037538284</v>
      </c>
      <c r="J12" s="2">
        <f>IF($D12="","",IF($E12&gt;0,Control!$B$6,Control!$B$5))</f>
        <v>0.33333333333333331</v>
      </c>
      <c r="K12" s="2">
        <f t="shared" si="2"/>
        <v>1.3428784037538284</v>
      </c>
      <c r="L12">
        <f>IF($B12="","",IF($C12="",IF($M12&gt;=Control!$B$11,Control!$B$10,$E12),MAX($E12-1,0)))</f>
        <v>0</v>
      </c>
      <c r="M12">
        <f t="shared" si="3"/>
        <v>2</v>
      </c>
    </row>
    <row r="13" spans="1:20" x14ac:dyDescent="0.2">
      <c r="A13">
        <v>4</v>
      </c>
      <c r="B13" t="s">
        <v>47</v>
      </c>
      <c r="C13" s="5"/>
      <c r="D13" s="2">
        <f>IF($B13="","",IFERROR(VLOOKUP($B13,'Witches Triple Crown'!$B$2:$M$36,10,FALSE),IF($C13="","",$C13/$P$5)))</f>
        <v>1.5442847051027691</v>
      </c>
      <c r="E13">
        <f>IF($B13="","",IFERROR(VLOOKUP($B13,'Witches Triple Crown'!$B$2:$M$36,11,FALSE),Control!$B$10))</f>
        <v>0</v>
      </c>
      <c r="F13">
        <f>IF($B13="","",IFERROR(VLOOKUP($B13,'Witches Triple Crown'!$B$2:$M$36,12,FALSE),0))</f>
        <v>0</v>
      </c>
      <c r="G13" s="5" t="e">
        <f t="shared" si="0"/>
        <v>#NUM!</v>
      </c>
      <c r="H13" s="3">
        <f>IF($D13="","",IF($C13="",Control!$B$9,MAX(MIN(($G13-$C13)/$G13,Control!$B$7),Control!$B$8)))</f>
        <v>-7.4999999999999997E-2</v>
      </c>
      <c r="I13" s="2">
        <f t="shared" si="1"/>
        <v>1.5442847051027691</v>
      </c>
      <c r="J13" s="2">
        <f>IF($D13="","",IF($E13&gt;0,Control!$B$6,Control!$B$5))</f>
        <v>0.33333333333333331</v>
      </c>
      <c r="K13" s="2">
        <f t="shared" si="2"/>
        <v>1.5442847051027691</v>
      </c>
      <c r="L13">
        <f>IF($B13="","",IF($C13="",IF($M13&gt;=Control!$B$11,Control!$B$10,$E13),MAX($E13-1,0)))</f>
        <v>0</v>
      </c>
      <c r="M13">
        <f t="shared" si="3"/>
        <v>1</v>
      </c>
    </row>
    <row r="14" spans="1:20" x14ac:dyDescent="0.2">
      <c r="A14">
        <v>4</v>
      </c>
      <c r="B14" t="s">
        <v>48</v>
      </c>
      <c r="C14" s="5"/>
      <c r="D14" s="2">
        <f>IF($B14="","",IFERROR(VLOOKUP($B14,'Witches Triple Crown'!$B$2:$M$36,10,FALSE),IF($C14="","",$C14/$P$5)))</f>
        <v>1.6315339104572399</v>
      </c>
      <c r="E14">
        <f>IF($B14="","",IFERROR(VLOOKUP($B14,'Witches Triple Crown'!$B$2:$M$36,11,FALSE),Control!$B$10))</f>
        <v>0</v>
      </c>
      <c r="F14">
        <f>IF($B14="","",IFERROR(VLOOKUP($B14,'Witches Triple Crown'!$B$2:$M$36,12,FALSE),0))</f>
        <v>0</v>
      </c>
      <c r="G14" s="5" t="e">
        <f t="shared" si="0"/>
        <v>#NUM!</v>
      </c>
      <c r="H14" s="3">
        <f>IF($D14="","",IF($C14="",Control!$B$9,MAX(MIN(($G14-$C14)/$G14,Control!$B$7),Control!$B$8)))</f>
        <v>-7.4999999999999997E-2</v>
      </c>
      <c r="I14" s="2">
        <f t="shared" si="1"/>
        <v>1.6315339104572399</v>
      </c>
      <c r="J14" s="2">
        <f>IF($D14="","",IF($E14&gt;0,Control!$B$6,Control!$B$5))</f>
        <v>0.33333333333333331</v>
      </c>
      <c r="K14" s="2">
        <f t="shared" si="2"/>
        <v>1.6315339104572399</v>
      </c>
      <c r="L14">
        <f>IF($B14="","",IF($C14="",IF($M14&gt;=Control!$B$11,Control!$B$10,$E14),MAX($E14-1,0)))</f>
        <v>0</v>
      </c>
      <c r="M14">
        <f t="shared" si="3"/>
        <v>1</v>
      </c>
    </row>
    <row r="15" spans="1:20" x14ac:dyDescent="0.2">
      <c r="A15">
        <v>4</v>
      </c>
      <c r="B15" t="s">
        <v>49</v>
      </c>
      <c r="C15" s="5"/>
      <c r="D15" s="2">
        <f>IF($B15="","",IFERROR(VLOOKUP($B15,'Witches Triple Crown'!$B$2:$M$36,10,FALSE),IF($C15="","",$C15/$P$5)))</f>
        <v>1.5939780269035149</v>
      </c>
      <c r="E15">
        <f>IF($B15="","",IFERROR(VLOOKUP($B15,'Witches Triple Crown'!$B$2:$M$36,11,FALSE),Control!$B$10))</f>
        <v>0</v>
      </c>
      <c r="F15">
        <f>IF($B15="","",IFERROR(VLOOKUP($B15,'Witches Triple Crown'!$B$2:$M$36,12,FALSE),0))</f>
        <v>1</v>
      </c>
      <c r="G15" s="5" t="e">
        <f t="shared" si="0"/>
        <v>#NUM!</v>
      </c>
      <c r="H15" s="3">
        <f>IF($D15="","",IF($C15="",Control!$B$9,MAX(MIN(($G15-$C15)/$G15,Control!$B$7),Control!$B$8)))</f>
        <v>-7.4999999999999997E-2</v>
      </c>
      <c r="I15" s="2">
        <f t="shared" si="1"/>
        <v>1.5939780269035149</v>
      </c>
      <c r="J15" s="2">
        <f>IF($D15="","",IF($E15&gt;0,Control!$B$6,Control!$B$5))</f>
        <v>0.33333333333333331</v>
      </c>
      <c r="K15" s="2">
        <f t="shared" si="2"/>
        <v>1.5939780269035149</v>
      </c>
      <c r="L15">
        <f>IF($B15="","",IF($C15="",IF($M15&gt;=Control!$B$11,Control!$B$10,$E15),MAX($E15-1,0)))</f>
        <v>0</v>
      </c>
      <c r="M15">
        <f t="shared" si="3"/>
        <v>2</v>
      </c>
    </row>
    <row r="16" spans="1:20" x14ac:dyDescent="0.2">
      <c r="A16">
        <v>4</v>
      </c>
      <c r="B16" t="s">
        <v>50</v>
      </c>
      <c r="C16" s="5"/>
      <c r="D16" s="2">
        <f>IF($B16="","",IFERROR(VLOOKUP($B16,'Witches Triple Crown'!$B$2:$M$36,10,FALSE),IF($C16="","",$C16/$P$5)))</f>
        <v>1.6547904360343633</v>
      </c>
      <c r="E16">
        <f>IF($B16="","",IFERROR(VLOOKUP($B16,'Witches Triple Crown'!$B$2:$M$36,11,FALSE),Control!$B$10))</f>
        <v>0</v>
      </c>
      <c r="F16">
        <f>IF($B16="","",IFERROR(VLOOKUP($B16,'Witches Triple Crown'!$B$2:$M$36,12,FALSE),0))</f>
        <v>0</v>
      </c>
      <c r="G16" s="5" t="e">
        <f t="shared" si="0"/>
        <v>#NUM!</v>
      </c>
      <c r="H16" s="3">
        <f>IF($D16="","",IF($C16="",Control!$B$9,MAX(MIN(($G16-$C16)/$G16,Control!$B$7),Control!$B$8)))</f>
        <v>-7.4999999999999997E-2</v>
      </c>
      <c r="I16" s="2">
        <f t="shared" si="1"/>
        <v>1.6547904360343633</v>
      </c>
      <c r="J16" s="2">
        <f>IF($D16="","",IF($E16&gt;0,Control!$B$6,Control!$B$5))</f>
        <v>0.33333333333333331</v>
      </c>
      <c r="K16" s="2">
        <f t="shared" si="2"/>
        <v>1.6547904360343633</v>
      </c>
      <c r="L16">
        <f>IF($B16="","",IF($C16="",IF($M16&gt;=Control!$B$11,Control!$B$10,$E16),MAX($E16-1,0)))</f>
        <v>0</v>
      </c>
      <c r="M16">
        <f t="shared" si="3"/>
        <v>1</v>
      </c>
    </row>
    <row r="17" spans="1:13" x14ac:dyDescent="0.2">
      <c r="A17">
        <v>5</v>
      </c>
      <c r="B17" t="s">
        <v>51</v>
      </c>
      <c r="C17" s="5"/>
      <c r="D17" s="2">
        <f>IF($B17="","",IFERROR(VLOOKUP($B17,'Witches Triple Crown'!$B$2:$M$36,10,FALSE),IF($C17="","",$C17/$P$5)))</f>
        <v>1.0980792182479766</v>
      </c>
      <c r="E17">
        <f>IF($B17="","",IFERROR(VLOOKUP($B17,'Witches Triple Crown'!$B$2:$M$36,11,FALSE),Control!$B$10))</f>
        <v>0</v>
      </c>
      <c r="F17">
        <f>IF($B17="","",IFERROR(VLOOKUP($B17,'Witches Triple Crown'!$B$2:$M$36,12,FALSE),0))</f>
        <v>2</v>
      </c>
      <c r="G17" s="5" t="e">
        <f t="shared" si="0"/>
        <v>#NUM!</v>
      </c>
      <c r="H17" s="3">
        <f>IF($D17="","",IF($C17="",Control!$B$9,MAX(MIN(($G17-$C17)/$G17,Control!$B$7),Control!$B$8)))</f>
        <v>-7.4999999999999997E-2</v>
      </c>
      <c r="I17" s="2">
        <f t="shared" si="1"/>
        <v>1.0980792182479766</v>
      </c>
      <c r="J17" s="2">
        <f>IF($D17="","",IF($E17&gt;0,Control!$B$6,Control!$B$5))</f>
        <v>0.33333333333333331</v>
      </c>
      <c r="K17" s="2">
        <f t="shared" si="2"/>
        <v>1.0980792182479766</v>
      </c>
      <c r="L17">
        <f>IF($B17="","",IF($C17="",IF($M17&gt;=Control!$B$11,Control!$B$10,$E17),MAX($E17-1,0)))</f>
        <v>0</v>
      </c>
      <c r="M17">
        <f t="shared" si="3"/>
        <v>3</v>
      </c>
    </row>
    <row r="18" spans="1:13" x14ac:dyDescent="0.2">
      <c r="A18">
        <v>5</v>
      </c>
      <c r="B18" t="s">
        <v>52</v>
      </c>
      <c r="C18" s="5"/>
      <c r="D18" s="2">
        <f>IF($B18="","",IFERROR(VLOOKUP($B18,'Witches Triple Crown'!$B$2:$M$36,10,FALSE),IF($C18="","",$C18/$P$5)))</f>
        <v>1.4128082545357437</v>
      </c>
      <c r="E18">
        <f>IF($B18="","",IFERROR(VLOOKUP($B18,'Witches Triple Crown'!$B$2:$M$36,11,FALSE),Control!$B$10))</f>
        <v>0</v>
      </c>
      <c r="F18">
        <f>IF($B18="","",IFERROR(VLOOKUP($B18,'Witches Triple Crown'!$B$2:$M$36,12,FALSE),0))</f>
        <v>2</v>
      </c>
      <c r="G18" s="5" t="e">
        <f t="shared" si="0"/>
        <v>#NUM!</v>
      </c>
      <c r="H18" s="3">
        <f>IF($D18="","",IF($C18="",Control!$B$9,MAX(MIN(($G18-$C18)/$G18,Control!$B$7),Control!$B$8)))</f>
        <v>-7.4999999999999997E-2</v>
      </c>
      <c r="I18" s="2">
        <f t="shared" si="1"/>
        <v>1.4128082545357437</v>
      </c>
      <c r="J18" s="2">
        <f>IF($D18="","",IF($E18&gt;0,Control!$B$6,Control!$B$5))</f>
        <v>0.33333333333333331</v>
      </c>
      <c r="K18" s="2">
        <f t="shared" si="2"/>
        <v>1.4128082545357437</v>
      </c>
      <c r="L18">
        <f>IF($B18="","",IF($C18="",IF($M18&gt;=Control!$B$11,Control!$B$10,$E18),MAX($E18-1,0)))</f>
        <v>0</v>
      </c>
      <c r="M18">
        <f t="shared" si="3"/>
        <v>3</v>
      </c>
    </row>
    <row r="19" spans="1:13" x14ac:dyDescent="0.2">
      <c r="A19">
        <v>5</v>
      </c>
      <c r="B19" t="s">
        <v>53</v>
      </c>
      <c r="C19" s="5"/>
      <c r="D19" s="2">
        <f>IF($B19="","",IFERROR(VLOOKUP($B19,'Witches Triple Crown'!$B$2:$M$36,10,FALSE),IF($C19="","",$C19/$P$5)))</f>
        <v>1.4803897336368115</v>
      </c>
      <c r="E19">
        <f>IF($B19="","",IFERROR(VLOOKUP($B19,'Witches Triple Crown'!$B$2:$M$36,11,FALSE),Control!$B$10))</f>
        <v>0</v>
      </c>
      <c r="F19">
        <f>IF($B19="","",IFERROR(VLOOKUP($B19,'Witches Triple Crown'!$B$2:$M$36,12,FALSE),0))</f>
        <v>1</v>
      </c>
      <c r="G19" s="5" t="e">
        <f t="shared" si="0"/>
        <v>#NUM!</v>
      </c>
      <c r="H19" s="3">
        <f>IF($D19="","",IF($C19="",Control!$B$9,MAX(MIN(($G19-$C19)/$G19,Control!$B$7),Control!$B$8)))</f>
        <v>-7.4999999999999997E-2</v>
      </c>
      <c r="I19" s="2">
        <f t="shared" si="1"/>
        <v>1.4803897336368115</v>
      </c>
      <c r="J19" s="2">
        <f>IF($D19="","",IF($E19&gt;0,Control!$B$6,Control!$B$5))</f>
        <v>0.33333333333333331</v>
      </c>
      <c r="K19" s="2">
        <f t="shared" si="2"/>
        <v>1.4803897336368115</v>
      </c>
      <c r="L19">
        <f>IF($B19="","",IF($C19="",IF($M19&gt;=Control!$B$11,Control!$B$10,$E19),MAX($E19-1,0)))</f>
        <v>0</v>
      </c>
      <c r="M19">
        <f t="shared" si="3"/>
        <v>2</v>
      </c>
    </row>
    <row r="20" spans="1:13" x14ac:dyDescent="0.2">
      <c r="A20">
        <v>5</v>
      </c>
      <c r="B20" t="s">
        <v>54</v>
      </c>
      <c r="C20" s="5"/>
      <c r="D20" s="2">
        <f>IF($B20="","",IFERROR(VLOOKUP($B20,'Witches Triple Crown'!$B$2:$M$36,10,FALSE),IF($C20="","",$C20/$P$5)))</f>
        <v>1.6933397193435091</v>
      </c>
      <c r="E20">
        <f>IF($B20="","",IFERROR(VLOOKUP($B20,'Witches Triple Crown'!$B$2:$M$36,11,FALSE),Control!$B$10))</f>
        <v>0</v>
      </c>
      <c r="F20">
        <f>IF($B20="","",IFERROR(VLOOKUP($B20,'Witches Triple Crown'!$B$2:$M$36,12,FALSE),0))</f>
        <v>2</v>
      </c>
      <c r="G20" s="5" t="e">
        <f t="shared" si="0"/>
        <v>#NUM!</v>
      </c>
      <c r="H20" s="3">
        <f>IF($D20="","",IF($C20="",Control!$B$9,MAX(MIN(($G20-$C20)/$G20,Control!$B$7),Control!$B$8)))</f>
        <v>-7.4999999999999997E-2</v>
      </c>
      <c r="I20" s="2">
        <f t="shared" si="1"/>
        <v>1.6933397193435091</v>
      </c>
      <c r="J20" s="2">
        <f>IF($D20="","",IF($E20&gt;0,Control!$B$6,Control!$B$5))</f>
        <v>0.33333333333333331</v>
      </c>
      <c r="K20" s="2">
        <f t="shared" si="2"/>
        <v>1.6933397193435091</v>
      </c>
      <c r="L20">
        <f>IF($B20="","",IF($C20="",IF($M20&gt;=Control!$B$11,Control!$B$10,$E20),MAX($E20-1,0)))</f>
        <v>0</v>
      </c>
      <c r="M20">
        <f t="shared" si="3"/>
        <v>3</v>
      </c>
    </row>
    <row r="21" spans="1:13" x14ac:dyDescent="0.2">
      <c r="A21">
        <v>6</v>
      </c>
      <c r="B21" t="s">
        <v>55</v>
      </c>
      <c r="C21" s="5"/>
      <c r="D21" s="2">
        <f>IF($B21="","",IFERROR(VLOOKUP($B21,'Witches Triple Crown'!$B$2:$M$36,10,FALSE),IF($C21="","",$C21/$P$5)))</f>
        <v>1.5471491576914884</v>
      </c>
      <c r="E21">
        <f>IF($B21="","",IFERROR(VLOOKUP($B21,'Witches Triple Crown'!$B$2:$M$36,11,FALSE),Control!$B$10))</f>
        <v>0</v>
      </c>
      <c r="F21">
        <f>IF($B21="","",IFERROR(VLOOKUP($B21,'Witches Triple Crown'!$B$2:$M$36,12,FALSE),0))</f>
        <v>0</v>
      </c>
      <c r="G21" s="5" t="e">
        <f t="shared" si="0"/>
        <v>#NUM!</v>
      </c>
      <c r="H21" s="3">
        <f>IF($D21="","",IF($C21="",Control!$B$9,MAX(MIN(($G21-$C21)/$G21,Control!$B$7),Control!$B$8)))</f>
        <v>-7.4999999999999997E-2</v>
      </c>
      <c r="I21" s="2">
        <f t="shared" si="1"/>
        <v>1.5471491576914884</v>
      </c>
      <c r="J21" s="2">
        <f>IF($D21="","",IF($E21&gt;0,Control!$B$6,Control!$B$5))</f>
        <v>0.33333333333333331</v>
      </c>
      <c r="K21" s="2">
        <f t="shared" si="2"/>
        <v>1.5471491576914884</v>
      </c>
      <c r="L21">
        <f>IF($B21="","",IF($C21="",IF($M21&gt;=Control!$B$11,Control!$B$10,$E21),MAX($E21-1,0)))</f>
        <v>0</v>
      </c>
      <c r="M21">
        <f t="shared" si="3"/>
        <v>1</v>
      </c>
    </row>
    <row r="22" spans="1:13" x14ac:dyDescent="0.2">
      <c r="A22">
        <v>6</v>
      </c>
      <c r="B22" t="s">
        <v>56</v>
      </c>
      <c r="C22" s="5"/>
      <c r="D22" s="2">
        <f>IF($B22="","",IFERROR(VLOOKUP($B22,'Witches Triple Crown'!$B$2:$M$36,10,FALSE),IF($C22="","",$C22/$P$5)))</f>
        <v>1.5656636409001667</v>
      </c>
      <c r="E22">
        <f>IF($B22="","",IFERROR(VLOOKUP($B22,'Witches Triple Crown'!$B$2:$M$36,11,FALSE),Control!$B$10))</f>
        <v>0</v>
      </c>
      <c r="F22">
        <f>IF($B22="","",IFERROR(VLOOKUP($B22,'Witches Triple Crown'!$B$2:$M$36,12,FALSE),0))</f>
        <v>0</v>
      </c>
      <c r="G22" s="5" t="e">
        <f t="shared" si="0"/>
        <v>#NUM!</v>
      </c>
      <c r="H22" s="3">
        <f>IF($D22="","",IF($C22="",Control!$B$9,MAX(MIN(($G22-$C22)/$G22,Control!$B$7),Control!$B$8)))</f>
        <v>-7.4999999999999997E-2</v>
      </c>
      <c r="I22" s="2">
        <f t="shared" si="1"/>
        <v>1.5656636409001667</v>
      </c>
      <c r="J22" s="2">
        <f>IF($D22="","",IF($E22&gt;0,Control!$B$6,Control!$B$5))</f>
        <v>0.33333333333333331</v>
      </c>
      <c r="K22" s="2">
        <f t="shared" si="2"/>
        <v>1.5656636409001667</v>
      </c>
      <c r="L22">
        <f>IF($B22="","",IF($C22="",IF($M22&gt;=Control!$B$11,Control!$B$10,$E22),MAX($E22-1,0)))</f>
        <v>0</v>
      </c>
      <c r="M22">
        <f t="shared" si="3"/>
        <v>1</v>
      </c>
    </row>
    <row r="23" spans="1:13" x14ac:dyDescent="0.2">
      <c r="A23">
        <v>6</v>
      </c>
      <c r="B23" t="s">
        <v>57</v>
      </c>
      <c r="C23" s="5"/>
      <c r="D23" s="2">
        <f>IF($B23="","",IFERROR(VLOOKUP($B23,'Witches Triple Crown'!$B$2:$M$36,10,FALSE),IF($C23="","",$C23/$P$5)))</f>
        <v>1.5299495810426411</v>
      </c>
      <c r="E23">
        <f>IF($B23="","",IFERROR(VLOOKUP($B23,'Witches Triple Crown'!$B$2:$M$36,11,FALSE),Control!$B$10))</f>
        <v>0</v>
      </c>
      <c r="F23">
        <f>IF($B23="","",IFERROR(VLOOKUP($B23,'Witches Triple Crown'!$B$2:$M$36,12,FALSE),0))</f>
        <v>1</v>
      </c>
      <c r="G23" s="5" t="e">
        <f t="shared" si="0"/>
        <v>#NUM!</v>
      </c>
      <c r="H23" s="3">
        <f>IF($D23="","",IF($C23="",Control!$B$9,MAX(MIN(($G23-$C23)/$G23,Control!$B$7),Control!$B$8)))</f>
        <v>-7.4999999999999997E-2</v>
      </c>
      <c r="I23" s="2">
        <f t="shared" si="1"/>
        <v>1.5299495810426411</v>
      </c>
      <c r="J23" s="2">
        <f>IF($D23="","",IF($E23&gt;0,Control!$B$6,Control!$B$5))</f>
        <v>0.33333333333333331</v>
      </c>
      <c r="K23" s="2">
        <f t="shared" si="2"/>
        <v>1.5299495810426411</v>
      </c>
      <c r="L23">
        <f>IF($B23="","",IF($C23="",IF($M23&gt;=Control!$B$11,Control!$B$10,$E23),MAX($E23-1,0)))</f>
        <v>0</v>
      </c>
      <c r="M23">
        <f t="shared" si="3"/>
        <v>2</v>
      </c>
    </row>
    <row r="24" spans="1:13" x14ac:dyDescent="0.2">
      <c r="A24">
        <v>6</v>
      </c>
      <c r="B24" t="s">
        <v>58</v>
      </c>
      <c r="C24" s="5"/>
      <c r="D24" s="2">
        <f>IF($B24="","",IFERROR(VLOOKUP($B24,'Witches Triple Crown'!$B$2:$M$36,10,FALSE),IF($C24="","",$C24/$P$5)))</f>
        <v>1.8055473823519808</v>
      </c>
      <c r="E24">
        <f>IF($B24="","",IFERROR(VLOOKUP($B24,'Witches Triple Crown'!$B$2:$M$36,11,FALSE),Control!$B$10))</f>
        <v>0</v>
      </c>
      <c r="F24">
        <f>IF($B24="","",IFERROR(VLOOKUP($B24,'Witches Triple Crown'!$B$2:$M$36,12,FALSE),0))</f>
        <v>0</v>
      </c>
      <c r="G24" s="5" t="e">
        <f t="shared" si="0"/>
        <v>#NUM!</v>
      </c>
      <c r="H24" s="3">
        <f>IF($D24="","",IF($C24="",Control!$B$9,MAX(MIN(($G24-$C24)/$G24,Control!$B$7),Control!$B$8)))</f>
        <v>-7.4999999999999997E-2</v>
      </c>
      <c r="I24" s="2">
        <f t="shared" si="1"/>
        <v>1.8055473823519808</v>
      </c>
      <c r="J24" s="2">
        <f>IF($D24="","",IF($E24&gt;0,Control!$B$6,Control!$B$5))</f>
        <v>0.33333333333333331</v>
      </c>
      <c r="K24" s="2">
        <f t="shared" si="2"/>
        <v>1.8055473823519808</v>
      </c>
      <c r="L24">
        <f>IF($B24="","",IF($C24="",IF($M24&gt;=Control!$B$11,Control!$B$10,$E24),MAX($E24-1,0)))</f>
        <v>0</v>
      </c>
      <c r="M24">
        <f t="shared" si="3"/>
        <v>1</v>
      </c>
    </row>
    <row r="25" spans="1:13" x14ac:dyDescent="0.2">
      <c r="A25">
        <v>6</v>
      </c>
      <c r="B25" t="s">
        <v>59</v>
      </c>
      <c r="C25" s="5"/>
      <c r="D25" s="2">
        <f>IF($B25="","",IFERROR(VLOOKUP($B25,'Witches Triple Crown'!$B$2:$M$36,10,FALSE),IF($C25="","",$C25/$P$5)))</f>
        <v>1.747798496826884</v>
      </c>
      <c r="E25">
        <f>IF($B25="","",IFERROR(VLOOKUP($B25,'Witches Triple Crown'!$B$2:$M$36,11,FALSE),Control!$B$10))</f>
        <v>0</v>
      </c>
      <c r="F25">
        <f>IF($B25="","",IFERROR(VLOOKUP($B25,'Witches Triple Crown'!$B$2:$M$36,12,FALSE),0))</f>
        <v>2</v>
      </c>
      <c r="G25" s="5" t="e">
        <f t="shared" si="0"/>
        <v>#NUM!</v>
      </c>
      <c r="H25" s="3">
        <f>IF($D25="","",IF($C25="",Control!$B$9,MAX(MIN(($G25-$C25)/$G25,Control!$B$7),Control!$B$8)))</f>
        <v>-7.4999999999999997E-2</v>
      </c>
      <c r="I25" s="2">
        <f t="shared" si="1"/>
        <v>1.747798496826884</v>
      </c>
      <c r="J25" s="2">
        <f>IF($D25="","",IF($E25&gt;0,Control!$B$6,Control!$B$5))</f>
        <v>0.33333333333333331</v>
      </c>
      <c r="K25" s="2">
        <f t="shared" si="2"/>
        <v>1.747798496826884</v>
      </c>
      <c r="L25">
        <f>IF($B25="","",IF($C25="",IF($M25&gt;=Control!$B$11,Control!$B$10,$E25),MAX($E25-1,0)))</f>
        <v>0</v>
      </c>
      <c r="M25">
        <f t="shared" si="3"/>
        <v>3</v>
      </c>
    </row>
    <row r="26" spans="1:13" x14ac:dyDescent="0.2">
      <c r="A26">
        <v>7</v>
      </c>
      <c r="B26" t="s">
        <v>60</v>
      </c>
      <c r="C26" s="5"/>
      <c r="D26" s="2">
        <f>IF($B26="","",IFERROR(VLOOKUP($B26,'Witches Triple Crown'!$B$2:$M$36,10,FALSE),IF($C26="","",$C26/$P$5)))</f>
        <v>1.1022890388632747</v>
      </c>
      <c r="E26">
        <f>IF($B26="","",IFERROR(VLOOKUP($B26,'Witches Triple Crown'!$B$2:$M$36,11,FALSE),Control!$B$10))</f>
        <v>0</v>
      </c>
      <c r="F26">
        <f>IF($B26="","",IFERROR(VLOOKUP($B26,'Witches Triple Crown'!$B$2:$M$36,12,FALSE),0))</f>
        <v>0</v>
      </c>
      <c r="G26" s="5" t="e">
        <f t="shared" si="0"/>
        <v>#NUM!</v>
      </c>
      <c r="H26" s="3">
        <f>IF($D26="","",IF($C26="",Control!$B$9,MAX(MIN(($G26-$C26)/$G26,Control!$B$7),Control!$B$8)))</f>
        <v>-7.4999999999999997E-2</v>
      </c>
      <c r="I26" s="2">
        <f t="shared" si="1"/>
        <v>1.1022890388632747</v>
      </c>
      <c r="J26" s="2">
        <f>IF($D26="","",IF($E26&gt;0,Control!$B$6,Control!$B$5))</f>
        <v>0.33333333333333331</v>
      </c>
      <c r="K26" s="2">
        <f t="shared" si="2"/>
        <v>1.1022890388632747</v>
      </c>
      <c r="L26">
        <f>IF($B26="","",IF($C26="",IF($M26&gt;=Control!$B$11,Control!$B$10,$E26),MAX($E26-1,0)))</f>
        <v>0</v>
      </c>
      <c r="M26">
        <f t="shared" si="3"/>
        <v>1</v>
      </c>
    </row>
    <row r="27" spans="1:13" x14ac:dyDescent="0.2">
      <c r="A27">
        <v>7</v>
      </c>
      <c r="B27" t="s">
        <v>61</v>
      </c>
      <c r="C27" s="5"/>
      <c r="D27" s="2">
        <f>IF($B27="","",IFERROR(VLOOKUP($B27,'Witches Triple Crown'!$B$2:$M$36,10,FALSE),IF($C27="","",$C27/$P$5)))</f>
        <v>1.1250245424021512</v>
      </c>
      <c r="E27">
        <f>IF($B27="","",IFERROR(VLOOKUP($B27,'Witches Triple Crown'!$B$2:$M$36,11,FALSE),Control!$B$10))</f>
        <v>0</v>
      </c>
      <c r="F27">
        <f>IF($B27="","",IFERROR(VLOOKUP($B27,'Witches Triple Crown'!$B$2:$M$36,12,FALSE),0))</f>
        <v>1</v>
      </c>
      <c r="G27" s="5" t="e">
        <f t="shared" si="0"/>
        <v>#NUM!</v>
      </c>
      <c r="H27" s="3">
        <f>IF($D27="","",IF($C27="",Control!$B$9,MAX(MIN(($G27-$C27)/$G27,Control!$B$7),Control!$B$8)))</f>
        <v>-7.4999999999999997E-2</v>
      </c>
      <c r="I27" s="2">
        <f t="shared" si="1"/>
        <v>1.1250245424021512</v>
      </c>
      <c r="J27" s="2">
        <f>IF($D27="","",IF($E27&gt;0,Control!$B$6,Control!$B$5))</f>
        <v>0.33333333333333331</v>
      </c>
      <c r="K27" s="2">
        <f t="shared" si="2"/>
        <v>1.1250245424021512</v>
      </c>
      <c r="L27">
        <f>IF($B27="","",IF($C27="",IF($M27&gt;=Control!$B$11,Control!$B$10,$E27),MAX($E27-1,0)))</f>
        <v>0</v>
      </c>
      <c r="M27">
        <f t="shared" si="3"/>
        <v>2</v>
      </c>
    </row>
    <row r="28" spans="1:13" x14ac:dyDescent="0.2">
      <c r="A28">
        <v>7</v>
      </c>
      <c r="B28" t="s">
        <v>62</v>
      </c>
      <c r="C28" s="5"/>
      <c r="D28" s="2">
        <f>IF($B28="","",IFERROR(VLOOKUP($B28,'Witches Triple Crown'!$B$2:$M$36,10,FALSE),IF($C28="","",$C28/$P$5)))</f>
        <v>1.3913647059147982</v>
      </c>
      <c r="E28">
        <f>IF($B28="","",IFERROR(VLOOKUP($B28,'Witches Triple Crown'!$B$2:$M$36,11,FALSE),Control!$B$10))</f>
        <v>0</v>
      </c>
      <c r="F28">
        <f>IF($B28="","",IFERROR(VLOOKUP($B28,'Witches Triple Crown'!$B$2:$M$36,12,FALSE),0))</f>
        <v>2</v>
      </c>
      <c r="G28" s="5" t="e">
        <f t="shared" si="0"/>
        <v>#NUM!</v>
      </c>
      <c r="H28" s="3">
        <f>IF($D28="","",IF($C28="",Control!$B$9,MAX(MIN(($G28-$C28)/$G28,Control!$B$7),Control!$B$8)))</f>
        <v>-7.4999999999999997E-2</v>
      </c>
      <c r="I28" s="2">
        <f t="shared" si="1"/>
        <v>1.3913647059147982</v>
      </c>
      <c r="J28" s="2">
        <f>IF($D28="","",IF($E28&gt;0,Control!$B$6,Control!$B$5))</f>
        <v>0.33333333333333331</v>
      </c>
      <c r="K28" s="2">
        <f t="shared" si="2"/>
        <v>1.3913647059147982</v>
      </c>
      <c r="L28">
        <f>IF($B28="","",IF($C28="",IF($M28&gt;=Control!$B$11,Control!$B$10,$E28),MAX($E28-1,0)))</f>
        <v>0</v>
      </c>
      <c r="M28">
        <f t="shared" si="3"/>
        <v>3</v>
      </c>
    </row>
    <row r="29" spans="1:13" x14ac:dyDescent="0.2">
      <c r="A29">
        <v>7</v>
      </c>
      <c r="B29" t="s">
        <v>63</v>
      </c>
      <c r="C29" s="5"/>
      <c r="D29" s="2">
        <f>IF($B29="","",IFERROR(VLOOKUP($B29,'Witches Triple Crown'!$B$2:$M$36,10,FALSE),IF($C29="","",$C29/$P$5)))</f>
        <v>1.3964210538724149</v>
      </c>
      <c r="E29">
        <f>IF($B29="","",IFERROR(VLOOKUP($B29,'Witches Triple Crown'!$B$2:$M$36,11,FALSE),Control!$B$10))</f>
        <v>0</v>
      </c>
      <c r="F29">
        <f>IF($B29="","",IFERROR(VLOOKUP($B29,'Witches Triple Crown'!$B$2:$M$36,12,FALSE),0))</f>
        <v>0</v>
      </c>
      <c r="G29" s="5" t="e">
        <f t="shared" si="0"/>
        <v>#NUM!</v>
      </c>
      <c r="H29" s="3">
        <f>IF($D29="","",IF($C29="",Control!$B$9,MAX(MIN(($G29-$C29)/$G29,Control!$B$7),Control!$B$8)))</f>
        <v>-7.4999999999999997E-2</v>
      </c>
      <c r="I29" s="2">
        <f t="shared" si="1"/>
        <v>1.3964210538724149</v>
      </c>
      <c r="J29" s="2">
        <f>IF($D29="","",IF($E29&gt;0,Control!$B$6,Control!$B$5))</f>
        <v>0.33333333333333331</v>
      </c>
      <c r="K29" s="2">
        <f t="shared" si="2"/>
        <v>1.3964210538724149</v>
      </c>
      <c r="L29">
        <f>IF($B29="","",IF($C29="",IF($M29&gt;=Control!$B$11,Control!$B$10,$E29),MAX($E29-1,0)))</f>
        <v>0</v>
      </c>
      <c r="M29">
        <f t="shared" si="3"/>
        <v>1</v>
      </c>
    </row>
    <row r="30" spans="1:13" x14ac:dyDescent="0.2">
      <c r="A30">
        <v>7</v>
      </c>
      <c r="B30" t="s">
        <v>64</v>
      </c>
      <c r="C30" s="5"/>
      <c r="D30" s="2">
        <f>IF($B30="","",IFERROR(VLOOKUP($B30,'Witches Triple Crown'!$B$2:$M$36,10,FALSE),IF($C30="","",$C30/$P$5)))</f>
        <v>1.9832388388888065</v>
      </c>
      <c r="E30">
        <f>IF($B30="","",IFERROR(VLOOKUP($B30,'Witches Triple Crown'!$B$2:$M$36,11,FALSE),Control!$B$10))</f>
        <v>0</v>
      </c>
      <c r="F30">
        <f>IF($B30="","",IFERROR(VLOOKUP($B30,'Witches Triple Crown'!$B$2:$M$36,12,FALSE),0))</f>
        <v>0</v>
      </c>
      <c r="G30" s="5" t="e">
        <f t="shared" si="0"/>
        <v>#NUM!</v>
      </c>
      <c r="H30" s="3">
        <f>IF($D30="","",IF($C30="",Control!$B$9,MAX(MIN(($G30-$C30)/$G30,Control!$B$7),Control!$B$8)))</f>
        <v>-7.4999999999999997E-2</v>
      </c>
      <c r="I30" s="2">
        <f t="shared" si="1"/>
        <v>1.9832388388888065</v>
      </c>
      <c r="J30" s="2">
        <f>IF($D30="","",IF($E30&gt;0,Control!$B$6,Control!$B$5))</f>
        <v>0.33333333333333331</v>
      </c>
      <c r="K30" s="2">
        <f t="shared" si="2"/>
        <v>1.9832388388888065</v>
      </c>
      <c r="L30">
        <f>IF($B30="","",IF($C30="",IF($M30&gt;=Control!$B$11,Control!$B$10,$E30),MAX($E30-1,0)))</f>
        <v>0</v>
      </c>
      <c r="M30">
        <f t="shared" si="3"/>
        <v>1</v>
      </c>
    </row>
    <row r="31" spans="1:13" x14ac:dyDescent="0.2">
      <c r="C31" s="5"/>
      <c r="D31" s="2" t="str">
        <f>IF($B31="","",IFERROR(VLOOKUP($B31,'Witches Triple Crown'!$B$2:$M$36,10,FALSE),IF($C31="","",$C31/$P$5)))</f>
        <v/>
      </c>
      <c r="E31" t="str">
        <f>IF($B31="","",IFERROR(VLOOKUP($B31,'Witches Triple Crown'!$B$2:$M$36,11,FALSE),Control!$B$10))</f>
        <v/>
      </c>
      <c r="F31" t="str">
        <f>IF($B31="","",IFERROR(VLOOKUP($B31,'Witches Triple Crown'!$B$2:$M$36,12,FALSE),0))</f>
        <v/>
      </c>
      <c r="G31" s="5" t="str">
        <f t="shared" si="0"/>
        <v/>
      </c>
      <c r="H31" s="3" t="str">
        <f>IF($D31="","",IF($C31="",Control!$B$9,MAX(MIN(($G31-$C31)/$G31,Control!$B$7),Control!$B$8)))</f>
        <v/>
      </c>
      <c r="I31" s="2" t="str">
        <f t="shared" si="1"/>
        <v/>
      </c>
      <c r="J31" s="2" t="str">
        <f>IF($D31="","",IF($E31&gt;0,Control!$B$6,Control!$B$5))</f>
        <v/>
      </c>
      <c r="K31" s="2" t="str">
        <f t="shared" si="2"/>
        <v/>
      </c>
      <c r="L31" t="str">
        <f>IF($B31="","",IF($C31="",IF($M31&gt;=Control!$B$11,Control!$B$10,$E31),MAX($E31-1,0)))</f>
        <v/>
      </c>
      <c r="M31" t="str">
        <f t="shared" si="3"/>
        <v/>
      </c>
    </row>
    <row r="32" spans="1:13" x14ac:dyDescent="0.2">
      <c r="C32" s="5"/>
      <c r="D32" s="2" t="str">
        <f>IF($B32="","",IFERROR(VLOOKUP($B32,'Witches Triple Crown'!$B$2:$M$36,10,FALSE),IF($C32="","",$C32/$P$5)))</f>
        <v/>
      </c>
      <c r="E32" t="str">
        <f>IF($B32="","",IFERROR(VLOOKUP($B32,'Witches Triple Crown'!$B$2:$M$36,11,FALSE),Control!$B$10))</f>
        <v/>
      </c>
      <c r="F32" t="str">
        <f>IF($B32="","",IFERROR(VLOOKUP($B32,'Witches Triple Crown'!$B$2:$M$36,12,FALSE),0))</f>
        <v/>
      </c>
      <c r="G32" s="5" t="str">
        <f t="shared" si="0"/>
        <v/>
      </c>
      <c r="H32" s="3" t="str">
        <f>IF($D32="","",IF($C32="",Control!$B$9,MAX(MIN(($G32-$C32)/$G32,Control!$B$7),Control!$B$8)))</f>
        <v/>
      </c>
      <c r="I32" s="2" t="str">
        <f t="shared" si="1"/>
        <v/>
      </c>
      <c r="J32" s="2" t="str">
        <f>IF($D32="","",IF($E32&gt;0,Control!$B$6,Control!$B$5))</f>
        <v/>
      </c>
      <c r="K32" s="2" t="str">
        <f t="shared" si="2"/>
        <v/>
      </c>
      <c r="L32" t="str">
        <f>IF($B32="","",IF($C32="",IF($M32&gt;=Control!$B$11,Control!$B$10,$E32),MAX($E32-1,0)))</f>
        <v/>
      </c>
      <c r="M32" t="str">
        <f t="shared" si="3"/>
        <v/>
      </c>
    </row>
    <row r="33" spans="3:13" x14ac:dyDescent="0.2">
      <c r="C33" s="5"/>
      <c r="D33" s="2" t="str">
        <f>IF($B33="","",IFERROR(VLOOKUP($B33,'Witches Triple Crown'!$B$2:$M$36,10,FALSE),IF($C33="","",$C33/$P$5)))</f>
        <v/>
      </c>
      <c r="E33" t="str">
        <f>IF($B33="","",IFERROR(VLOOKUP($B33,'Witches Triple Crown'!$B$2:$M$36,11,FALSE),Control!$B$10))</f>
        <v/>
      </c>
      <c r="F33" t="str">
        <f>IF($B33="","",IFERROR(VLOOKUP($B33,'Witches Triple Crown'!$B$2:$M$36,12,FALSE),0))</f>
        <v/>
      </c>
      <c r="G33" s="5" t="str">
        <f t="shared" si="0"/>
        <v/>
      </c>
      <c r="H33" s="3" t="str">
        <f>IF($D33="","",IF($C33="",Control!$B$9,MAX(MIN(($G33-$C33)/$G33,Control!$B$7),Control!$B$8)))</f>
        <v/>
      </c>
      <c r="I33" s="2" t="str">
        <f t="shared" si="1"/>
        <v/>
      </c>
      <c r="J33" s="2" t="str">
        <f>IF($D33="","",IF($E33&gt;0,Control!$B$6,Control!$B$5))</f>
        <v/>
      </c>
      <c r="K33" s="2" t="str">
        <f t="shared" si="2"/>
        <v/>
      </c>
      <c r="L33" t="str">
        <f>IF($B33="","",IF($C33="",IF($M33&gt;=Control!$B$11,Control!$B$10,$E33),MAX($E33-1,0)))</f>
        <v/>
      </c>
      <c r="M33" t="str">
        <f t="shared" si="3"/>
        <v/>
      </c>
    </row>
    <row r="34" spans="3:13" x14ac:dyDescent="0.2">
      <c r="C34" s="5"/>
      <c r="D34" s="2" t="str">
        <f>IF($B34="","",IFERROR(VLOOKUP($B34,'Witches Triple Crown'!$B$2:$M$36,10,FALSE),IF($C34="","",$C34/$P$5)))</f>
        <v/>
      </c>
      <c r="E34" t="str">
        <f>IF($B34="","",IFERROR(VLOOKUP($B34,'Witches Triple Crown'!$B$2:$M$36,11,FALSE),Control!$B$10))</f>
        <v/>
      </c>
      <c r="F34" t="str">
        <f>IF($B34="","",IFERROR(VLOOKUP($B34,'Witches Triple Crown'!$B$2:$M$36,12,FALSE),0))</f>
        <v/>
      </c>
      <c r="G34" s="5" t="str">
        <f t="shared" si="0"/>
        <v/>
      </c>
      <c r="H34" s="3" t="str">
        <f>IF($D34="","",IF($C34="",Control!$B$9,MAX(MIN(($G34-$C34)/$G34,Control!$B$7),Control!$B$8)))</f>
        <v/>
      </c>
      <c r="I34" s="2" t="str">
        <f t="shared" si="1"/>
        <v/>
      </c>
      <c r="J34" s="2" t="str">
        <f>IF($D34="","",IF($E34&gt;0,Control!$B$6,Control!$B$5))</f>
        <v/>
      </c>
      <c r="K34" s="2" t="str">
        <f t="shared" si="2"/>
        <v/>
      </c>
      <c r="L34" t="str">
        <f>IF($B34="","",IF($C34="",IF($M34&gt;=Control!$B$11,Control!$B$10,$E34),MAX($E34-1,0)))</f>
        <v/>
      </c>
      <c r="M34" t="str">
        <f t="shared" si="3"/>
        <v/>
      </c>
    </row>
    <row r="35" spans="3:13" x14ac:dyDescent="0.2">
      <c r="C35" s="5"/>
      <c r="D35" s="2" t="str">
        <f>IF($B35="","",IFERROR(VLOOKUP($B35,'Witches Triple Crown'!$B$2:$M$36,10,FALSE),IF($C35="","",$C35/$P$5)))</f>
        <v/>
      </c>
      <c r="E35" t="str">
        <f>IF($B35="","",IFERROR(VLOOKUP($B35,'Witches Triple Crown'!$B$2:$M$36,11,FALSE),Control!$B$10))</f>
        <v/>
      </c>
      <c r="F35" t="str">
        <f>IF($B35="","",IFERROR(VLOOKUP($B35,'Witches Triple Crown'!$B$2:$M$36,12,FALSE),0))</f>
        <v/>
      </c>
      <c r="G35" s="5" t="str">
        <f t="shared" si="0"/>
        <v/>
      </c>
      <c r="H35" s="3" t="str">
        <f>IF($D35="","",IF($C35="",Control!$B$9,MAX(MIN(($G35-$C35)/$G35,Control!$B$7),Control!$B$8)))</f>
        <v/>
      </c>
      <c r="I35" s="2" t="str">
        <f t="shared" si="1"/>
        <v/>
      </c>
      <c r="J35" s="2" t="str">
        <f>IF($D35="","",IF($E35&gt;0,Control!$B$6,Control!$B$5))</f>
        <v/>
      </c>
      <c r="K35" s="2" t="str">
        <f t="shared" si="2"/>
        <v/>
      </c>
      <c r="L35" t="str">
        <f>IF($B35="","",IF($C35="",IF($M35&gt;=Control!$B$11,Control!$B$10,$E35),MAX($E35-1,0)))</f>
        <v/>
      </c>
      <c r="M35" t="str">
        <f t="shared" si="3"/>
        <v/>
      </c>
    </row>
    <row r="36" spans="3:13" x14ac:dyDescent="0.2">
      <c r="C36" s="5"/>
      <c r="D36" s="2" t="str">
        <f>IF($B36="","",IFERROR(VLOOKUP($B36,'Witches Triple Crown'!$B$2:$M$36,10,FALSE),IF($C36="","",$C36/$P$5)))</f>
        <v/>
      </c>
      <c r="E36" t="str">
        <f>IF($B36="","",IFERROR(VLOOKUP($B36,'Witches Triple Crown'!$B$2:$M$36,11,FALSE),Control!$B$10))</f>
        <v/>
      </c>
      <c r="F36" t="str">
        <f>IF($B36="","",IFERROR(VLOOKUP($B36,'Witches Triple Crown'!$B$2:$M$36,12,FALSE),0))</f>
        <v/>
      </c>
      <c r="G36" s="5" t="str">
        <f t="shared" si="0"/>
        <v/>
      </c>
      <c r="H36" s="3" t="str">
        <f>IF($D36="","",IF($C36="",Control!$B$9,MAX(MIN(($G36-$C36)/$G36,Control!$B$7),Control!$B$8)))</f>
        <v/>
      </c>
      <c r="I36" s="2" t="str">
        <f t="shared" si="1"/>
        <v/>
      </c>
      <c r="J36" s="2" t="str">
        <f>IF($D36="","",IF($E36&gt;0,Control!$B$6,Control!$B$5))</f>
        <v/>
      </c>
      <c r="K36" s="2" t="str">
        <f t="shared" si="2"/>
        <v/>
      </c>
      <c r="L36" t="str">
        <f>IF($B36="","",IF($C36="",IF($M36&gt;=Control!$B$11,Control!$B$10,$E36),MAX($E36-1,0)))</f>
        <v/>
      </c>
      <c r="M36" t="str">
        <f t="shared" si="3"/>
        <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0"/>
  <sheetViews>
    <sheetView tabSelected="1" topLeftCell="A6" workbookViewId="0">
      <selection activeCell="D10" sqref="D10"/>
    </sheetView>
  </sheetViews>
  <sheetFormatPr baseColWidth="10" defaultColWidth="8.83203125" defaultRowHeight="15" x14ac:dyDescent="0.2"/>
  <cols>
    <col min="1" max="1" width="18" customWidth="1"/>
    <col min="2" max="6" width="15" customWidth="1"/>
    <col min="8" max="8" width="26" customWidth="1"/>
    <col min="9" max="9" width="15" customWidth="1"/>
  </cols>
  <sheetData>
    <row r="1" spans="1:9" x14ac:dyDescent="0.2">
      <c r="A1" s="1" t="s">
        <v>4</v>
      </c>
      <c r="B1" s="1" t="s">
        <v>76</v>
      </c>
      <c r="C1" s="1" t="s">
        <v>77</v>
      </c>
      <c r="D1" s="1" t="s">
        <v>78</v>
      </c>
      <c r="E1" s="1" t="s">
        <v>79</v>
      </c>
      <c r="F1" s="1" t="s">
        <v>80</v>
      </c>
      <c r="H1" s="1" t="s">
        <v>81</v>
      </c>
      <c r="I1" s="1" t="s">
        <v>82</v>
      </c>
    </row>
    <row r="2" spans="1:9" x14ac:dyDescent="0.2">
      <c r="A2" t="s">
        <v>13</v>
      </c>
      <c r="B2" s="2">
        <v>1</v>
      </c>
      <c r="C2" s="2">
        <f>VLOOKUP($A2,'Sting in the tail'!$B$2:$M$36,10,FALSE)</f>
        <v>0.99967715725235751</v>
      </c>
      <c r="D2" s="2">
        <f>VLOOKUP($A2,'Dune Bugger'!$B$2:$M$36,10,FALSE)</f>
        <v>1.0020840665697037</v>
      </c>
      <c r="E2" s="2">
        <f>VLOOKUP($A2,'Sword in the stepping stone'!$B$2:$M$36,10,FALSE)</f>
        <v>1.0051073683082861</v>
      </c>
      <c r="F2" s="2">
        <f>VLOOKUP($A2,'Witches Triple Crown'!$B$2:$M$36,10,FALSE)</f>
        <v>1.3136003310057558</v>
      </c>
      <c r="H2" t="s">
        <v>83</v>
      </c>
      <c r="I2" s="5">
        <f>'Sting in the tail'!$P$5</f>
        <v>9.6389652396968745E-3</v>
      </c>
    </row>
    <row r="3" spans="1:9" x14ac:dyDescent="0.2">
      <c r="A3" t="s">
        <v>39</v>
      </c>
      <c r="B3" s="2">
        <v>1.07096794871845</v>
      </c>
      <c r="C3" s="2">
        <f>VLOOKUP($A3,'Sting in the tail'!$B$2:$M$36,10,FALSE)</f>
        <v>1.068602784713248</v>
      </c>
      <c r="D3" s="2">
        <f>VLOOKUP($A3,'Dune Bugger'!$B$2:$M$36,10,FALSE)</f>
        <v>1.0840127255132446</v>
      </c>
      <c r="E3" s="2">
        <f>VLOOKUP($A3,'Sword in the stepping stone'!$B$2:$M$36,10,FALSE)</f>
        <v>1.0840127255132446</v>
      </c>
      <c r="F3" s="2">
        <f>VLOOKUP($A3,'Witches Triple Crown'!$B$2:$M$36,10,FALSE)</f>
        <v>1.367136552841139</v>
      </c>
      <c r="H3" t="s">
        <v>84</v>
      </c>
      <c r="I3" s="5">
        <f>'Dune Bugger'!$P$5</f>
        <v>7.8279481566737447E-3</v>
      </c>
    </row>
    <row r="4" spans="1:9" x14ac:dyDescent="0.2">
      <c r="A4" t="s">
        <v>17</v>
      </c>
      <c r="B4" s="2">
        <v>1.169539246984842</v>
      </c>
      <c r="C4" s="2">
        <f>VLOOKUP($A4,'Sting in the tail'!$B$2:$M$36,10,FALSE)</f>
        <v>1.169539246984842</v>
      </c>
      <c r="D4" s="2">
        <f>VLOOKUP($A4,'Dune Bugger'!$B$2:$M$36,10,FALSE)</f>
        <v>1.169539246984842</v>
      </c>
      <c r="E4" s="2">
        <f>VLOOKUP($A4,'Sword in the stepping stone'!$B$2:$M$36,10,FALSE)</f>
        <v>1.168258549738598</v>
      </c>
      <c r="F4" s="2">
        <f>VLOOKUP($A4,'Witches Triple Crown'!$B$2:$M$36,10,FALSE)</f>
        <v>1.168258549738598</v>
      </c>
      <c r="H4" t="s">
        <v>85</v>
      </c>
      <c r="I4" s="5">
        <f>'Sword in the stepping stone'!$P$5</f>
        <v>1.3106129417080231E-2</v>
      </c>
    </row>
    <row r="5" spans="1:9" x14ac:dyDescent="0.2">
      <c r="A5" t="s">
        <v>40</v>
      </c>
      <c r="B5" s="2">
        <v>1.2849811271253</v>
      </c>
      <c r="C5" s="2">
        <f>VLOOKUP($A5,'Sting in the tail'!$B$2:$M$36,10,FALSE)</f>
        <v>1.2761192219302528</v>
      </c>
      <c r="D5" s="2">
        <f>VLOOKUP($A5,'Dune Bugger'!$B$2:$M$36,10,FALSE)</f>
        <v>1.2795279199201319</v>
      </c>
      <c r="E5" s="2">
        <f>VLOOKUP($A5,'Sword in the stepping stone'!$B$2:$M$36,10,FALSE)</f>
        <v>1.2571858340257718</v>
      </c>
      <c r="F5" s="2">
        <f>VLOOKUP($A5,'Witches Triple Crown'!$B$2:$M$36,10,FALSE)</f>
        <v>1.2571858340257718</v>
      </c>
      <c r="H5" t="s">
        <v>1</v>
      </c>
      <c r="I5" s="5">
        <f>'Witches Triple Crown'!$P$5</f>
        <v>1.2409874593223437E-2</v>
      </c>
    </row>
    <row r="6" spans="1:9" x14ac:dyDescent="0.2">
      <c r="A6" t="s">
        <v>41</v>
      </c>
      <c r="B6" s="2">
        <v>1.0609519230784299</v>
      </c>
      <c r="C6" s="2">
        <f>VLOOKUP($A6,'Sting in the tail'!$B$2:$M$36,10,FALSE)</f>
        <v>1.0519191094492575</v>
      </c>
      <c r="D6" s="2">
        <f>VLOOKUP($A6,'Dune Bugger'!$B$2:$M$36,10,FALSE)</f>
        <v>1.0492333499873678</v>
      </c>
      <c r="E6" s="2">
        <f>VLOOKUP($A6,'Sword in the stepping stone'!$B$2:$M$36,10,FALSE)</f>
        <v>1.0586178215572992</v>
      </c>
      <c r="F6" s="2">
        <f>VLOOKUP($A6,'Witches Triple Crown'!$B$2:$M$36,10,FALSE)</f>
        <v>1.0620176539585211</v>
      </c>
    </row>
    <row r="7" spans="1:9" x14ac:dyDescent="0.2">
      <c r="A7" t="s">
        <v>15</v>
      </c>
      <c r="B7" s="2">
        <v>0.97</v>
      </c>
      <c r="C7" s="2">
        <f>VLOOKUP($A7,'Sting in the tail'!$B$2:$M$36,10,FALSE)</f>
        <v>0.99328575903109961</v>
      </c>
      <c r="D7" s="2">
        <f>VLOOKUP($A7,'Dune Bugger'!$B$2:$M$36,10,FALSE)</f>
        <v>0.97318050384940358</v>
      </c>
      <c r="E7" s="2">
        <f>VLOOKUP($A7,'Sword in the stepping stone'!$B$2:$M$36,10,FALSE)</f>
        <v>0.97318050384940358</v>
      </c>
      <c r="F7" s="2">
        <f>VLOOKUP($A7,'Witches Triple Crown'!$B$2:$M$36,10,FALSE)</f>
        <v>0.99138057012722969</v>
      </c>
    </row>
    <row r="8" spans="1:9" x14ac:dyDescent="0.2">
      <c r="A8" t="s">
        <v>42</v>
      </c>
      <c r="B8" s="2">
        <v>1.1399999999999999</v>
      </c>
      <c r="C8" s="2">
        <f>VLOOKUP($A8,'Sting in the tail'!$B$2:$M$36,10,FALSE)</f>
        <v>1.1306342719739777</v>
      </c>
      <c r="D8" s="2">
        <f>VLOOKUP($A8,'Dune Bugger'!$B$2:$M$36,10,FALSE)</f>
        <v>1.1238884925193633</v>
      </c>
      <c r="E8" s="2">
        <f>VLOOKUP($A8,'Sword in the stepping stone'!$B$2:$M$36,10,FALSE)</f>
        <v>1.1210457392239788</v>
      </c>
      <c r="F8" s="2">
        <f>VLOOKUP($A8,'Witches Triple Crown'!$B$2:$M$36,10,FALSE)</f>
        <v>1.1210457392239788</v>
      </c>
    </row>
    <row r="9" spans="1:9" x14ac:dyDescent="0.2">
      <c r="A9" t="s">
        <v>43</v>
      </c>
      <c r="B9" s="2">
        <v>1.281996209306931</v>
      </c>
      <c r="C9" s="2">
        <f>VLOOKUP($A9,'Sting in the tail'!$B$2:$M$36,10,FALSE)</f>
        <v>1.275330035698484</v>
      </c>
      <c r="D9" s="2">
        <f>VLOOKUP($A9,'Dune Bugger'!$B$2:$M$36,10,FALSE)</f>
        <v>1.2898445532176488</v>
      </c>
      <c r="E9" s="2">
        <f>VLOOKUP($A9,'Sword in the stepping stone'!$B$2:$M$36,10,FALSE)</f>
        <v>1.2876130270371693</v>
      </c>
      <c r="F9" s="2">
        <f>VLOOKUP($A9,'Witches Triple Crown'!$B$2:$M$36,10,FALSE)</f>
        <v>1.560072642935628</v>
      </c>
    </row>
    <row r="10" spans="1:9" x14ac:dyDescent="0.2">
      <c r="A10" t="s">
        <v>44</v>
      </c>
      <c r="B10" s="2">
        <v>1.1409076979603601</v>
      </c>
      <c r="C10" s="2">
        <f>VLOOKUP($A10,'Sting in the tail'!$B$2:$M$36,10,FALSE)</f>
        <v>1.1232343440777028</v>
      </c>
      <c r="D10" s="2">
        <f>VLOOKUP($A10,'Dune Bugger'!$B$2:$M$36,10,FALSE)</f>
        <v>1.1795760784642553</v>
      </c>
      <c r="E10" s="2">
        <f>VLOOKUP($A10,'Sword in the stepping stone'!$B$2:$M$36,10,FALSE)</f>
        <v>1.2120401347554315</v>
      </c>
      <c r="F10" s="2">
        <f>VLOOKUP($A10,'Witches Triple Crown'!$B$2:$M$36,10,FALSE)</f>
        <v>1.2084446467200616</v>
      </c>
    </row>
    <row r="11" spans="1:9" x14ac:dyDescent="0.2">
      <c r="A11" t="s">
        <v>45</v>
      </c>
      <c r="B11" s="2">
        <v>1.215863391697251</v>
      </c>
      <c r="C11" s="2">
        <f>VLOOKUP($A11,'Sting in the tail'!$B$2:$M$36,10,FALSE)</f>
        <v>1.2088273229897886</v>
      </c>
      <c r="D11" s="2">
        <f>VLOOKUP($A11,'Dune Bugger'!$B$2:$M$36,10,FALSE)</f>
        <v>1.2287524226223514</v>
      </c>
      <c r="E11" s="2">
        <f>VLOOKUP($A11,'Sword in the stepping stone'!$B$2:$M$36,10,FALSE)</f>
        <v>1.2354045892022745</v>
      </c>
      <c r="F11" s="2">
        <f>VLOOKUP($A11,'Witches Triple Crown'!$B$2:$M$36,10,FALSE)</f>
        <v>1.2354045892022745</v>
      </c>
    </row>
    <row r="12" spans="1:9" x14ac:dyDescent="0.2">
      <c r="A12" t="s">
        <v>46</v>
      </c>
      <c r="B12" s="2">
        <v>1.344827586206897</v>
      </c>
      <c r="C12" s="2">
        <f>VLOOKUP($A12,'Sting in the tail'!$B$2:$M$36,10,FALSE)</f>
        <v>1.344827586206897</v>
      </c>
      <c r="D12" s="2">
        <f>VLOOKUP($A12,'Dune Bugger'!$B$2:$M$36,10,FALSE)</f>
        <v>1.339626221836782</v>
      </c>
      <c r="E12" s="2">
        <f>VLOOKUP($A12,'Sword in the stepping stone'!$B$2:$M$36,10,FALSE)</f>
        <v>1.3428784037538284</v>
      </c>
      <c r="F12" s="2">
        <f>VLOOKUP($A12,'Witches Triple Crown'!$B$2:$M$36,10,FALSE)</f>
        <v>1.3428784037538284</v>
      </c>
    </row>
    <row r="13" spans="1:9" x14ac:dyDescent="0.2">
      <c r="A13" t="s">
        <v>47</v>
      </c>
      <c r="B13" s="2">
        <v>1.2401121794891701</v>
      </c>
      <c r="C13" s="2">
        <f>VLOOKUP($A13,'Sting in the tail'!$B$2:$M$36,10,FALSE)</f>
        <v>1.2297962174396437</v>
      </c>
      <c r="D13" s="2">
        <f>VLOOKUP($A13,'Dune Bugger'!$B$2:$M$36,10,FALSE)</f>
        <v>1.2481530643149363</v>
      </c>
      <c r="E13" s="2">
        <f>VLOOKUP($A13,'Sword in the stepping stone'!$B$2:$M$36,10,FALSE)</f>
        <v>1.2807188268652785</v>
      </c>
      <c r="F13" s="2">
        <f>VLOOKUP($A13,'Witches Triple Crown'!$B$2:$M$36,10,FALSE)</f>
        <v>1.5442847051027691</v>
      </c>
    </row>
    <row r="14" spans="1:9" x14ac:dyDescent="0.2">
      <c r="A14" t="s">
        <v>48</v>
      </c>
      <c r="B14" s="2">
        <v>1.6105307550903001</v>
      </c>
      <c r="C14" s="2">
        <f>VLOOKUP($A14,'Sting in the tail'!$B$2:$M$36,10,FALSE)</f>
        <v>1.6124276993009929</v>
      </c>
      <c r="D14" s="2">
        <f>VLOOKUP($A14,'Dune Bugger'!$B$2:$M$36,10,FALSE)</f>
        <v>1.5934327467855984</v>
      </c>
      <c r="E14" s="2">
        <f>VLOOKUP($A14,'Sword in the stepping stone'!$B$2:$M$36,10,FALSE)</f>
        <v>1.5771380747574308</v>
      </c>
      <c r="F14" s="2">
        <f>VLOOKUP($A14,'Witches Triple Crown'!$B$2:$M$36,10,FALSE)</f>
        <v>1.6315339104572399</v>
      </c>
    </row>
    <row r="15" spans="1:9" x14ac:dyDescent="0.2">
      <c r="A15" t="s">
        <v>49</v>
      </c>
      <c r="B15" s="2">
        <v>1.6175320512817979</v>
      </c>
      <c r="C15" s="2">
        <f>VLOOKUP($A15,'Sting in the tail'!$B$2:$M$36,10,FALSE)</f>
        <v>1.6186962420692945</v>
      </c>
      <c r="D15" s="2">
        <f>VLOOKUP($A15,'Dune Bugger'!$B$2:$M$36,10,FALSE)</f>
        <v>1.6050045644696378</v>
      </c>
      <c r="E15" s="2">
        <f>VLOOKUP($A15,'Sword in the stepping stone'!$B$2:$M$36,10,FALSE)</f>
        <v>1.5939780269035149</v>
      </c>
      <c r="F15" s="2">
        <f>VLOOKUP($A15,'Witches Triple Crown'!$B$2:$M$36,10,FALSE)</f>
        <v>1.5939780269035149</v>
      </c>
    </row>
    <row r="16" spans="1:9" x14ac:dyDescent="0.2">
      <c r="A16" t="s">
        <v>50</v>
      </c>
      <c r="B16" s="2">
        <v>1.651067955887175</v>
      </c>
      <c r="C16" s="2">
        <f>VLOOKUP($A16,'Sting in the tail'!$B$2:$M$36,10,FALSE)</f>
        <v>1.652660848617493</v>
      </c>
      <c r="D16" s="2">
        <f>VLOOKUP($A16,'Dune Bugger'!$B$2:$M$36,10,FALSE)</f>
        <v>1.6202548463299318</v>
      </c>
      <c r="E16" s="2">
        <f>VLOOKUP($A16,'Sword in the stepping stone'!$B$2:$M$36,10,FALSE)</f>
        <v>1.6050279853825336</v>
      </c>
      <c r="F16" s="2">
        <f>VLOOKUP($A16,'Witches Triple Crown'!$B$2:$M$36,10,FALSE)</f>
        <v>1.6547904360343633</v>
      </c>
    </row>
    <row r="17" spans="1:6" x14ac:dyDescent="0.2">
      <c r="A17" t="s">
        <v>51</v>
      </c>
      <c r="B17" s="2">
        <v>1.1144551282056829</v>
      </c>
      <c r="C17" s="2">
        <f>VLOOKUP($A17,'Sting in the tail'!$B$2:$M$36,10,FALSE)</f>
        <v>1.1104023334964939</v>
      </c>
      <c r="D17" s="2">
        <f>VLOOKUP($A17,'Dune Bugger'!$B$2:$M$36,10,FALSE)</f>
        <v>1.0980792182479766</v>
      </c>
      <c r="E17" s="2">
        <f>VLOOKUP($A17,'Sword in the stepping stone'!$B$2:$M$36,10,FALSE)</f>
        <v>1.0980792182479766</v>
      </c>
      <c r="F17" s="2">
        <f>VLOOKUP($A17,'Witches Triple Crown'!$B$2:$M$36,10,FALSE)</f>
        <v>1.0980792182479766</v>
      </c>
    </row>
    <row r="18" spans="1:6" x14ac:dyDescent="0.2">
      <c r="A18" t="s">
        <v>52</v>
      </c>
      <c r="B18" s="2">
        <v>1.3723935746197471</v>
      </c>
      <c r="C18" s="2">
        <f>VLOOKUP($A18,'Sting in the tail'!$B$2:$M$36,10,FALSE)</f>
        <v>1.3740192332823</v>
      </c>
      <c r="D18" s="2">
        <f>VLOOKUP($A18,'Dune Bugger'!$B$2:$M$36,10,FALSE)</f>
        <v>1.4128082545357437</v>
      </c>
      <c r="E18" s="2">
        <f>VLOOKUP($A18,'Sword in the stepping stone'!$B$2:$M$36,10,FALSE)</f>
        <v>1.4128082545357437</v>
      </c>
      <c r="F18" s="2">
        <f>VLOOKUP($A18,'Witches Triple Crown'!$B$2:$M$36,10,FALSE)</f>
        <v>1.4128082545357437</v>
      </c>
    </row>
    <row r="19" spans="1:6" x14ac:dyDescent="0.2">
      <c r="A19" t="s">
        <v>53</v>
      </c>
      <c r="B19" s="2">
        <v>1.450907051282061</v>
      </c>
      <c r="C19" s="2">
        <f>VLOOKUP($A19,'Sting in the tail'!$B$2:$M$36,10,FALSE)</f>
        <v>1.4503767306667212</v>
      </c>
      <c r="D19" s="2">
        <f>VLOOKUP($A19,'Dune Bugger'!$B$2:$M$36,10,FALSE)</f>
        <v>1.4642061054034803</v>
      </c>
      <c r="E19" s="2">
        <f>VLOOKUP($A19,'Sword in the stepping stone'!$B$2:$M$36,10,FALSE)</f>
        <v>1.4803897336368115</v>
      </c>
      <c r="F19" s="2">
        <f>VLOOKUP($A19,'Witches Triple Crown'!$B$2:$M$36,10,FALSE)</f>
        <v>1.4803897336368115</v>
      </c>
    </row>
    <row r="20" spans="1:6" x14ac:dyDescent="0.2">
      <c r="A20" t="s">
        <v>54</v>
      </c>
      <c r="B20" s="2">
        <v>1.5687339743480999</v>
      </c>
      <c r="C20" s="2">
        <f>VLOOKUP($A20,'Sting in the tail'!$B$2:$M$36,10,FALSE)</f>
        <v>1.6706175724070627</v>
      </c>
      <c r="D20" s="2">
        <f>VLOOKUP($A20,'Dune Bugger'!$B$2:$M$36,10,FALSE)</f>
        <v>1.6933397193435091</v>
      </c>
      <c r="E20" s="2">
        <f>VLOOKUP($A20,'Sword in the stepping stone'!$B$2:$M$36,10,FALSE)</f>
        <v>1.6933397193435091</v>
      </c>
      <c r="F20" s="2">
        <f>VLOOKUP($A20,'Witches Triple Crown'!$B$2:$M$36,10,FALSE)</f>
        <v>1.6933397193435091</v>
      </c>
    </row>
    <row r="21" spans="1:6" x14ac:dyDescent="0.2">
      <c r="A21" t="s">
        <v>55</v>
      </c>
      <c r="B21" s="2">
        <v>1.3888581353535101</v>
      </c>
      <c r="C21" s="2">
        <f>VLOOKUP($A21,'Sting in the tail'!$B$2:$M$36,10,FALSE)</f>
        <v>1.3801925711828997</v>
      </c>
      <c r="D21" s="2">
        <f>VLOOKUP($A21,'Dune Bugger'!$B$2:$M$36,10,FALSE)</f>
        <v>1.3912954773404369</v>
      </c>
      <c r="E21" s="2">
        <f>VLOOKUP($A21,'Sword in the stepping stone'!$B$2:$M$36,10,FALSE)</f>
        <v>1.3796795178375703</v>
      </c>
      <c r="F21" s="2">
        <f>VLOOKUP($A21,'Witches Triple Crown'!$B$2:$M$36,10,FALSE)</f>
        <v>1.5471491576914884</v>
      </c>
    </row>
    <row r="22" spans="1:6" x14ac:dyDescent="0.2">
      <c r="A22" t="s">
        <v>56</v>
      </c>
      <c r="B22" s="2">
        <v>1.3814596499606211</v>
      </c>
      <c r="C22" s="2">
        <f>VLOOKUP($A22,'Sting in the tail'!$B$2:$M$36,10,FALSE)</f>
        <v>1.3856668254184432</v>
      </c>
      <c r="D22" s="2">
        <f>VLOOKUP($A22,'Dune Bugger'!$B$2:$M$36,10,FALSE)</f>
        <v>1.3895236014381174</v>
      </c>
      <c r="E22" s="2">
        <f>VLOOKUP($A22,'Sword in the stepping stone'!$B$2:$M$36,10,FALSE)</f>
        <v>1.3943941375348343</v>
      </c>
      <c r="F22" s="2">
        <f>VLOOKUP($A22,'Witches Triple Crown'!$B$2:$M$36,10,FALSE)</f>
        <v>1.5656636409001667</v>
      </c>
    </row>
    <row r="23" spans="1:6" x14ac:dyDescent="0.2">
      <c r="A23" t="s">
        <v>57</v>
      </c>
      <c r="B23" s="2">
        <v>1.58583491740071</v>
      </c>
      <c r="C23" s="2">
        <f>VLOOKUP($A23,'Sting in the tail'!$B$2:$M$36,10,FALSE)</f>
        <v>1.576751663820297</v>
      </c>
      <c r="D23" s="2">
        <f>VLOOKUP($A23,'Dune Bugger'!$B$2:$M$36,10,FALSE)</f>
        <v>1.5592988182912271</v>
      </c>
      <c r="E23" s="2">
        <f>VLOOKUP($A23,'Sword in the stepping stone'!$B$2:$M$36,10,FALSE)</f>
        <v>1.5299495810426411</v>
      </c>
      <c r="F23" s="2">
        <f>VLOOKUP($A23,'Witches Triple Crown'!$B$2:$M$36,10,FALSE)</f>
        <v>1.5299495810426411</v>
      </c>
    </row>
    <row r="24" spans="1:6" x14ac:dyDescent="0.2">
      <c r="A24" t="s">
        <v>58</v>
      </c>
      <c r="B24" s="2">
        <v>1.718525641024788</v>
      </c>
      <c r="C24" s="2">
        <f>VLOOKUP($A24,'Sting in the tail'!$B$2:$M$36,10,FALSE)</f>
        <v>1.7236490832862417</v>
      </c>
      <c r="D24" s="2">
        <f>VLOOKUP($A24,'Dune Bugger'!$B$2:$M$36,10,FALSE)</f>
        <v>1.7794578789095858</v>
      </c>
      <c r="E24" s="2">
        <f>VLOOKUP($A24,'Sword in the stepping stone'!$B$2:$M$36,10,FALSE)</f>
        <v>1.7444269208757399</v>
      </c>
      <c r="F24" s="2">
        <f>VLOOKUP($A24,'Witches Triple Crown'!$B$2:$M$36,10,FALSE)</f>
        <v>1.8055473823519808</v>
      </c>
    </row>
    <row r="25" spans="1:6" x14ac:dyDescent="0.2">
      <c r="A25" t="s">
        <v>59</v>
      </c>
      <c r="B25" s="2">
        <v>1.7721474358972209</v>
      </c>
      <c r="C25" s="2">
        <f>VLOOKUP($A25,'Sting in the tail'!$B$2:$M$36,10,FALSE)</f>
        <v>1.7730055483132725</v>
      </c>
      <c r="D25" s="2">
        <f>VLOOKUP($A25,'Dune Bugger'!$B$2:$M$36,10,FALSE)</f>
        <v>1.747798496826884</v>
      </c>
      <c r="E25" s="2">
        <f>VLOOKUP($A25,'Sword in the stepping stone'!$B$2:$M$36,10,FALSE)</f>
        <v>1.747798496826884</v>
      </c>
      <c r="F25" s="2">
        <f>VLOOKUP($A25,'Witches Triple Crown'!$B$2:$M$36,10,FALSE)</f>
        <v>1.747798496826884</v>
      </c>
    </row>
    <row r="26" spans="1:6" x14ac:dyDescent="0.2">
      <c r="A26" t="s">
        <v>60</v>
      </c>
      <c r="B26" s="2">
        <v>1.0706250000014399</v>
      </c>
      <c r="C26" s="2">
        <f>VLOOKUP($A26,'Sting in the tail'!$B$2:$M$36,10,FALSE)</f>
        <v>1.0623703573328551</v>
      </c>
      <c r="D26" s="2">
        <f>VLOOKUP($A26,'Dune Bugger'!$B$2:$M$36,10,FALSE)</f>
        <v>1.0971076153272723</v>
      </c>
      <c r="E26" s="2">
        <f>VLOOKUP($A26,'Sword in the stepping stone'!$B$2:$M$36,10,FALSE)</f>
        <v>1.0971076153272723</v>
      </c>
      <c r="F26" s="2">
        <f>VLOOKUP($A26,'Witches Triple Crown'!$B$2:$M$36,10,FALSE)</f>
        <v>1.1022890388632747</v>
      </c>
    </row>
    <row r="27" spans="1:6" x14ac:dyDescent="0.2">
      <c r="A27" t="s">
        <v>61</v>
      </c>
      <c r="B27" s="2">
        <v>1.1233910256422901</v>
      </c>
      <c r="C27" s="2">
        <f>VLOOKUP($A27,'Sting in the tail'!$B$2:$M$36,10,FALSE)</f>
        <v>1.1179606104282018</v>
      </c>
      <c r="D27" s="2">
        <f>VLOOKUP($A27,'Dune Bugger'!$B$2:$M$36,10,FALSE)</f>
        <v>1.1139608269878116</v>
      </c>
      <c r="E27" s="2">
        <f>VLOOKUP($A27,'Sword in the stepping stone'!$B$2:$M$36,10,FALSE)</f>
        <v>1.1250245424021512</v>
      </c>
      <c r="F27" s="2">
        <f>VLOOKUP($A27,'Witches Triple Crown'!$B$2:$M$36,10,FALSE)</f>
        <v>1.1250245424021512</v>
      </c>
    </row>
    <row r="28" spans="1:6" x14ac:dyDescent="0.2">
      <c r="A28" t="s">
        <v>62</v>
      </c>
      <c r="B28" s="2">
        <v>1.3968750000003129</v>
      </c>
      <c r="C28" s="2">
        <f>VLOOKUP($A28,'Sting in the tail'!$B$2:$M$36,10,FALSE)</f>
        <v>1.3943427134709347</v>
      </c>
      <c r="D28" s="2">
        <f>VLOOKUP($A28,'Dune Bugger'!$B$2:$M$36,10,FALSE)</f>
        <v>1.3913647059147982</v>
      </c>
      <c r="E28" s="2">
        <f>VLOOKUP($A28,'Sword in the stepping stone'!$B$2:$M$36,10,FALSE)</f>
        <v>1.3913647059147982</v>
      </c>
      <c r="F28" s="2">
        <f>VLOOKUP($A28,'Witches Triple Crown'!$B$2:$M$36,10,FALSE)</f>
        <v>1.3913647059147982</v>
      </c>
    </row>
    <row r="29" spans="1:6" x14ac:dyDescent="0.2">
      <c r="A29" t="s">
        <v>63</v>
      </c>
      <c r="B29" s="2">
        <v>1.395810897435916</v>
      </c>
      <c r="C29" s="2">
        <f>VLOOKUP($A29,'Sting in the tail'!$B$2:$M$36,10,FALSE)</f>
        <v>1.3952343237353066</v>
      </c>
      <c r="D29" s="2">
        <f>VLOOKUP($A29,'Dune Bugger'!$B$2:$M$36,10,FALSE)</f>
        <v>1.3904805549233448</v>
      </c>
      <c r="E29" s="2">
        <f>VLOOKUP($A29,'Sword in the stepping stone'!$B$2:$M$36,10,FALSE)</f>
        <v>1.3904805549233448</v>
      </c>
      <c r="F29" s="2">
        <f>VLOOKUP($A29,'Witches Triple Crown'!$B$2:$M$36,10,FALSE)</f>
        <v>1.3964210538724149</v>
      </c>
    </row>
    <row r="30" spans="1:6" x14ac:dyDescent="0.2">
      <c r="A30" t="s">
        <v>64</v>
      </c>
      <c r="B30" s="2">
        <v>1.4442628205113901</v>
      </c>
      <c r="C30" s="2">
        <f>VLOOKUP($A30,'Sting in the tail'!$B$2:$M$36,10,FALSE)</f>
        <v>1.4599560982585085</v>
      </c>
      <c r="D30" s="2">
        <f>VLOOKUP($A30,'Dune Bugger'!$B$2:$M$36,10,FALSE)</f>
        <v>1.4947421284260105</v>
      </c>
      <c r="E30" s="2">
        <f>VLOOKUP($A30,'Sword in the stepping stone'!$B$2:$M$36,10,FALSE)</f>
        <v>1.4947421284260105</v>
      </c>
      <c r="F30" s="2">
        <f>VLOOKUP($A30,'Witches Triple Crown'!$B$2:$M$36,10,FALSE)</f>
        <v>1.9832388388888065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Results</vt:lpstr>
      <vt:lpstr>Control</vt:lpstr>
      <vt:lpstr>Roster</vt:lpstr>
      <vt:lpstr>Sting in the tail</vt:lpstr>
      <vt:lpstr>Dune Bugger</vt:lpstr>
      <vt:lpstr>Sword in the stepping stone</vt:lpstr>
      <vt:lpstr>Witches Triple Crown</vt:lpstr>
      <vt:lpstr>Next Segment</vt:lpstr>
      <vt:lpstr>Ratio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Price, Neil</cp:lastModifiedBy>
  <dcterms:created xsi:type="dcterms:W3CDTF">2026-10-29T22:38:58Z</dcterms:created>
  <dcterms:modified xsi:type="dcterms:W3CDTF">2026-10-30T09:43:05Z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9a91ea-2073-4935-a795-8d5add99d027_Enabled">
    <vt:lpwstr>true</vt:lpwstr>
  </property>
  <property fmtid="{D5CDD505-2E9C-101B-9397-08002B2CF9AE}" pid="3" name="MSIP_Label_959a91ea-2073-4935-a795-8d5add99d027_SetDate">
    <vt:lpwstr>2026-10-29T23:04:56Z</vt:lpwstr>
  </property>
  <property fmtid="{D5CDD505-2E9C-101B-9397-08002B2CF9AE}" pid="4" name="MSIP_Label_959a91ea-2073-4935-a795-8d5add99d027_Method">
    <vt:lpwstr>Privileged</vt:lpwstr>
  </property>
  <property fmtid="{D5CDD505-2E9C-101B-9397-08002B2CF9AE}" pid="5" name="MSIP_Label_959a91ea-2073-4935-a795-8d5add99d027_Name">
    <vt:lpwstr>Non-Confidential</vt:lpwstr>
  </property>
  <property fmtid="{D5CDD505-2E9C-101B-9397-08002B2CF9AE}" pid="6" name="MSIP_Label_959a91ea-2073-4935-a795-8d5add99d027_SiteId">
    <vt:lpwstr>d246baab-cc00-4ed2-bc4e-f8a46cbc590d</vt:lpwstr>
  </property>
  <property fmtid="{D5CDD505-2E9C-101B-9397-08002B2CF9AE}" pid="7" name="MSIP_Label_959a91ea-2073-4935-a795-8d5add99d027_ActionId">
    <vt:lpwstr>38763fff-ef9e-4b2d-bc51-442e48598397</vt:lpwstr>
  </property>
  <property fmtid="{D5CDD505-2E9C-101B-9397-08002B2CF9AE}" pid="8" name="MSIP_Label_959a91ea-2073-4935-a795-8d5add99d027_ContentBits">
    <vt:lpwstr>0</vt:lpwstr>
  </property>
  <property fmtid="{D5CDD505-2E9C-101B-9397-08002B2CF9AE}" pid="9" name="MSIP_Label_959a91ea-2073-4935-a795-8d5add99d027_Tag">
    <vt:lpwstr>50, 0, 1, 1</vt:lpwstr>
  </property>
</Properties>
</file>